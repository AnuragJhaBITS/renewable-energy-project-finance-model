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Model" sheetId="3" state="visible" r:id="rId5"/>
    <sheet name="Sensitivity" sheetId="4" state="visible" r:id="rId6"/>
  </sheets>
  <definedNames>
    <definedName function="false" hidden="false" name="Annual_tariff" vbProcedure="false">Assumptions!$C$13</definedName>
    <definedName function="false" hidden="false" name="Ann_degradation" vbProcedure="false">Assumptions!$C$9</definedName>
    <definedName function="false" hidden="false" name="Capacity" vbProcedure="false">Assumptions!$C$7</definedName>
    <definedName function="false" hidden="false" name="Capacity_factor" vbProcedure="false">Assumptions!$C$8</definedName>
    <definedName function="false" hidden="false" name="Const_period" vbProcedure="false">Assumptions!$C$11</definedName>
    <definedName function="false" hidden="false" name="Debt_interest" vbProcedure="false">Assumptions!$C$25</definedName>
    <definedName function="false" hidden="false" name="Debt_percentage" vbProcedure="false">Assumptions!$C$23</definedName>
    <definedName function="false" hidden="false" name="Dep_life" vbProcedure="false">Assumptions!$C$28</definedName>
    <definedName function="false" hidden="false" name="Discount_rate" vbProcedure="false">Assumptions!$C$34</definedName>
    <definedName function="false" hidden="false" name="DSRA_req" vbProcedure="false">Assumptions!$C$33</definedName>
    <definedName function="false" hidden="false" name="Fixed_OM" vbProcedure="false">Assumptions!$C$17</definedName>
    <definedName function="false" hidden="false" name="Grace_period" vbProcedure="false">Assumptions!$C$26</definedName>
    <definedName function="false" hidden="false" name="Inflation_OM" vbProcedure="false">Assumptions!$C$19</definedName>
    <definedName function="false" hidden="false" name="Initial_capex" vbProcedure="false">Assumptions!$C$22</definedName>
    <definedName function="false" hidden="false" name="Op_life" vbProcedure="false">Assumptions!$C$10</definedName>
    <definedName function="false" hidden="false" name="PPA_tariff" vbProcedure="false">Assumptions!$C$12</definedName>
    <definedName function="false" hidden="false" name="Salvage" vbProcedure="false">Assumptions!$C$29</definedName>
    <definedName function="false" hidden="false" name="Tax_rate" vbProcedure="false">Assumptions!$C$27</definedName>
    <definedName function="false" hidden="false" name="tenure" vbProcedure="false">Assumptions!$C$24</definedName>
    <definedName function="false" hidden="false" name="Variable_OM" vbProcedure="false">Assumptions!$C$18</definedName>
    <definedName function="false" hidden="false" name="workex" vbProcedure="false">Assumptions!$C$32</definedName>
    <definedName function="false" hidden="false" name="Yearly_hours" vbProcedure="false">Assumptions!$C$14</definedName>
  </definedName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<sst xmlns="http://schemas.openxmlformats.org/spreadsheetml/2006/main" count="143" uniqueCount="124">
  <si>
    <t xml:space="preserve">Solar Project — Project Finance Model</t>
  </si>
  <si>
    <t xml:space="preserve">50 MW Solar PPA  ·  15-year operating life  ·  all figures INR crore</t>
  </si>
  <si>
    <t xml:space="preserve">EQUITY IRR</t>
  </si>
  <si>
    <t xml:space="preserve">EQUITY NPV</t>
  </si>
  <si>
    <t xml:space="preserve">GEARING</t>
  </si>
  <si>
    <t xml:space="preserve">Levered · post-tax</t>
  </si>
  <si>
    <t xml:space="preserve">INR cr @ 10% discount</t>
  </si>
  <si>
    <t xml:space="preserve">Debt / CapEx</t>
  </si>
  <si>
    <t xml:space="preserve">MINIMUM DSCR</t>
  </si>
  <si>
    <t xml:space="preserve">AVERAGE DSCR</t>
  </si>
  <si>
    <t xml:space="preserve">PAYBACK BASIS</t>
  </si>
  <si>
    <t xml:space="preserve">Lowest annual cover</t>
  </si>
  <si>
    <t xml:space="preserve">Mean over tenure</t>
  </si>
  <si>
    <t xml:space="preserve">Equity at risk (cr)</t>
  </si>
  <si>
    <t xml:space="preserve">PROJECT ECONOMICS</t>
  </si>
  <si>
    <t xml:space="preserve">Installed capacity</t>
  </si>
  <si>
    <t xml:space="preserve">Initial CapEx (incl. IDC)</t>
  </si>
  <si>
    <t xml:space="preserve">Debt drawdown</t>
  </si>
  <si>
    <t xml:space="preserve">Equity invested</t>
  </si>
  <si>
    <t xml:space="preserve">Debt tenure</t>
  </si>
  <si>
    <t xml:space="preserve">Year-1 revenue</t>
  </si>
  <si>
    <t xml:space="preserve">Year-1 EBITDA</t>
  </si>
  <si>
    <t xml:space="preserve">Year-1 EBITDA margin</t>
  </si>
  <si>
    <t xml:space="preserve">Discount rate</t>
  </si>
  <si>
    <t xml:space="preserve">Outputs link live to the Model tab. Edit blue input cells on Assumptions to run scenarios.</t>
  </si>
  <si>
    <t xml:space="preserve">Assumptions &amp; Inputs</t>
  </si>
  <si>
    <t xml:space="preserve">Blue = editable input  ·  Yellow = key scenario lever</t>
  </si>
  <si>
    <t xml:space="preserve">CAPACITY &amp; REVENUE</t>
  </si>
  <si>
    <t xml:space="preserve">Capacity (MW)</t>
  </si>
  <si>
    <t xml:space="preserve">key lever</t>
  </si>
  <si>
    <t xml:space="preserve">Specific yield / capacity factor</t>
  </si>
  <si>
    <t xml:space="preserve">Annual degradation</t>
  </si>
  <si>
    <t xml:space="preserve">Operational life (years)</t>
  </si>
  <si>
    <t xml:space="preserve">Construction period (years)</t>
  </si>
  <si>
    <t xml:space="preserve">PPA tariff (INR/MWh)</t>
  </si>
  <si>
    <t xml:space="preserve">Annual tariff escalator</t>
  </si>
  <si>
    <t xml:space="preserve">Yearly hours</t>
  </si>
  <si>
    <t xml:space="preserve">OPERATING EXPENSES</t>
  </si>
  <si>
    <t xml:space="preserve">Fixed O&amp;M (INR/MW-year)</t>
  </si>
  <si>
    <t xml:space="preserve">Variable O&amp;M (INR/MWh)</t>
  </si>
  <si>
    <t xml:space="preserve">Inflation (O&amp;M escalation)</t>
  </si>
  <si>
    <t xml:space="preserve">CAPEX &amp; DEBT</t>
  </si>
  <si>
    <t xml:space="preserve">Initial CapEx (INR crore)</t>
  </si>
  <si>
    <t xml:space="preserve">Percent debt (% of CapEx)</t>
  </si>
  <si>
    <t xml:space="preserve">Debt tenure (years)</t>
  </si>
  <si>
    <t xml:space="preserve">Debt interest rate (p.a.)</t>
  </si>
  <si>
    <t xml:space="preserve">Debt grace period (years)</t>
  </si>
  <si>
    <t xml:space="preserve">Corporate tax rate</t>
  </si>
  <si>
    <t xml:space="preserve">Depreciation life (years)</t>
  </si>
  <si>
    <t xml:space="preserve">Salvage value (% of CapEx)</t>
  </si>
  <si>
    <t xml:space="preserve">WORKING CAPITAL &amp; RETURNS</t>
  </si>
  <si>
    <t xml:space="preserve">Working capital (days revenue)</t>
  </si>
  <si>
    <t xml:space="preserve">DSRA requirement (months D/S)</t>
  </si>
  <si>
    <t xml:space="preserve">Model — Calculation Engine</t>
  </si>
  <si>
    <t xml:space="preserve">All figures INR crore unless stated · black = formula · green = linked input · Year 0 = construction</t>
  </si>
  <si>
    <t xml:space="preserve">ENERGY &amp; REVENUE</t>
  </si>
  <si>
    <t xml:space="preserve">Capacity Factor</t>
  </si>
  <si>
    <t xml:space="preserve">Degradation (annual)</t>
  </si>
  <si>
    <t xml:space="preserve">Tariff escalator</t>
  </si>
  <si>
    <t xml:space="preserve">Hours</t>
  </si>
  <si>
    <t xml:space="preserve">Year 0</t>
  </si>
  <si>
    <t xml:space="preserve">Operation Flag</t>
  </si>
  <si>
    <t xml:space="preserve">Energy produced (MWh)</t>
  </si>
  <si>
    <t xml:space="preserve">Average tariff (INR/MWh)</t>
  </si>
  <si>
    <t xml:space="preserve">Revenue (INR Crs.)</t>
  </si>
  <si>
    <t xml:space="preserve">O&amp;M EXPENSES</t>
  </si>
  <si>
    <t xml:space="preserve">Inflation factor </t>
  </si>
  <si>
    <t xml:space="preserve">Fixed Expenses</t>
  </si>
  <si>
    <t xml:space="preserve">Variable Expenses </t>
  </si>
  <si>
    <t xml:space="preserve">Total</t>
  </si>
  <si>
    <t xml:space="preserve">WORKING CAPITAL</t>
  </si>
  <si>
    <t xml:space="preserve">Revenue </t>
  </si>
  <si>
    <t xml:space="preserve">Working Capital Required</t>
  </si>
  <si>
    <t xml:space="preserve">Working Capital Change</t>
  </si>
  <si>
    <t xml:space="preserve">CAPEX &amp; DEPRECIATION</t>
  </si>
  <si>
    <t xml:space="preserve">Opening Balance</t>
  </si>
  <si>
    <t xml:space="preserve">Addition/Sale </t>
  </si>
  <si>
    <t xml:space="preserve">Capitalization of Interest</t>
  </si>
  <si>
    <t xml:space="preserve">Depriciation</t>
  </si>
  <si>
    <t xml:space="preserve">Closing Balance</t>
  </si>
  <si>
    <t xml:space="preserve">FINANCING &amp; DEBT SCHEDULE</t>
  </si>
  <si>
    <t xml:space="preserve">CapEx (INR)</t>
  </si>
  <si>
    <t xml:space="preserve">Debt drawdown (INR)</t>
  </si>
  <si>
    <t xml:space="preserve">Equity invest (INR)</t>
  </si>
  <si>
    <t xml:space="preserve">Debt interest rate (annum)</t>
  </si>
  <si>
    <t xml:space="preserve">Opening debt balance</t>
  </si>
  <si>
    <t xml:space="preserve">Interest</t>
  </si>
  <si>
    <t xml:space="preserve">Principal repayment</t>
  </si>
  <si>
    <t xml:space="preserve">Debt payment (annuity)</t>
  </si>
  <si>
    <t xml:space="preserve">Closing debt balance</t>
  </si>
  <si>
    <t xml:space="preserve">CASH FLOW &amp; DSCR</t>
  </si>
  <si>
    <t xml:space="preserve">Operational Flag</t>
  </si>
  <si>
    <t xml:space="preserve">Revenue</t>
  </si>
  <si>
    <t xml:space="preserve">Total O&amp;M</t>
  </si>
  <si>
    <t xml:space="preserve">EBITDA</t>
  </si>
  <si>
    <t xml:space="preserve">Earning before Tax</t>
  </si>
  <si>
    <t xml:space="preserve">Tax</t>
  </si>
  <si>
    <t xml:space="preserve">Net Income</t>
  </si>
  <si>
    <t xml:space="preserve">Add: Depriciation</t>
  </si>
  <si>
    <t xml:space="preserve">Less: Principal repayment</t>
  </si>
  <si>
    <t xml:space="preserve">Working Capital</t>
  </si>
  <si>
    <t xml:space="preserve">Capital expenditure salvage</t>
  </si>
  <si>
    <t xml:space="preserve">DSRA</t>
  </si>
  <si>
    <t xml:space="preserve">Free cashflow to equity</t>
  </si>
  <si>
    <t xml:space="preserve">Debt Service (Interest + Principal)</t>
  </si>
  <si>
    <t xml:space="preserve">DSCR (EBITDA/Debt Service)</t>
  </si>
  <si>
    <t xml:space="preserve">Equity IRR</t>
  </si>
  <si>
    <t xml:space="preserve">Equity NPV</t>
  </si>
  <si>
    <t xml:space="preserve">Sensitivity Analysis</t>
  </si>
  <si>
    <t xml:space="preserve">Two-variable data tables · base case highlighted · all figures re-run through the full model</t>
  </si>
  <si>
    <t xml:space="preserve">1 · PPA TARIFF  ×  CAPACITY FACTOR  →  EQUITY IRR</t>
  </si>
  <si>
    <t xml:space="preserve">Tariff (INR/MWh) ↓ / →</t>
  </si>
  <si>
    <t xml:space="preserve">Base case: tariff 3,500 &amp; CF 20% → 12.0% IRR. Higher tariff and yield both lift levered returns roughly linearly.</t>
  </si>
  <si>
    <t xml:space="preserve">2 · DEBT RATIO  ×  INTEREST RATE  →  EQUITY IRR</t>
  </si>
  <si>
    <t xml:space="preserve">Interest Rate</t>
  </si>
  <si>
    <t xml:space="preserve">Debt / CapEx ↓ / →</t>
  </si>
  <si>
    <t xml:space="preserve">More leverage raises equity IRR (positive leverage) but cheaper debt helps too — the classic gearing trade-off lenders scrutinise.</t>
  </si>
  <si>
    <t xml:space="preserve">3 · CAPACITY FACTOR  ×  PPA TARIFF  →  EQUITY NPV (INR cr)</t>
  </si>
  <si>
    <t xml:space="preserve">Tariff (INR/MWh)</t>
  </si>
  <si>
    <t xml:space="preserve">Capacity Factor ↓ / →</t>
  </si>
  <si>
    <t xml:space="preserve">NPV discounted at 10%. Negative cells show combinations where the project destroys equity value.</t>
  </si>
  <si>
    <t xml:space="preserve">4 · INTEREST RATE  ×  DEBT RATIO  →  MINIMUM DSCR</t>
  </si>
  <si>
    <t xml:space="preserve">Interest Rate ↓ / →</t>
  </si>
  <si>
    <t xml:space="preserve">Minimum annual DSCR over the debt tenure. Lenders typically require ≥1.20x; cells below that flag a covenant breach.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</si>
</sst>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#,##0.0;\(#,##0.0\);\-"/>
    <numFmt numFmtId="167" formatCode="0.00\x"/>
    <numFmt numFmtId="168" formatCode="#,##0&quot; MW&quot;"/>
    <numFmt numFmtId="169" formatCode="#,##0&quot; yrs&quot;"/>
    <numFmt numFmtId="170" formatCode="#,##0;\(#,##0\);\-"/>
    <numFmt numFmtId="171" formatCode="#,##0"/>
    <numFmt numFmtId="172" formatCode="0"/>
    <numFmt numFmtId="173" formatCode="0%"/>
    <numFmt numFmtId="174" formatCode="#,##0.0;\(#,##0.0\);\-"/>
    <numFmt numFmtId="175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D9E1F2"/>
      <name val="Arial"/>
      <family val="0"/>
      <charset val="1"/>
    </font>
    <font>
      <b val="true"/>
      <sz val="9"/>
      <color rgb="FF5B6B8C"/>
      <name val="Arial"/>
      <family val="0"/>
      <charset val="1"/>
    </font>
    <font>
      <b val="true"/>
      <sz val="24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8"/>
      <color rgb="FFD9E1F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44546A"/>
      </patternFill>
    </fill>
    <fill>
      <patternFill patternType="solid">
        <fgColor rgb="FFF4F6FB"/>
        <bgColor rgb="FFF2F2F2"/>
      </patternFill>
    </fill>
    <fill>
      <patternFill patternType="solid">
        <fgColor rgb="FF44546A"/>
        <bgColor rgb="FF2E5496"/>
      </patternFill>
    </fill>
    <fill>
      <patternFill patternType="solid">
        <fgColor rgb="FFFFFFFF"/>
        <bgColor rgb="FFF4F6FB"/>
      </patternFill>
    </fill>
    <fill>
      <patternFill patternType="solid">
        <fgColor rgb="FFEDF2F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F2FA"/>
      </patternFill>
    </fill>
    <fill>
      <patternFill patternType="solid">
        <fgColor rgb="FFD9E1F2"/>
        <bgColor rgb="FFD0D7E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ck">
        <color rgb="FF2E5496"/>
      </top>
      <bottom/>
      <diagonal/>
    </border>
    <border diagonalUp="false" diagonalDown="false">
      <left style="thin">
        <color rgb="FFD0D7E5"/>
      </left>
      <right style="thin">
        <color rgb="FFD0D7E5"/>
      </right>
      <top/>
      <bottom/>
      <diagonal/>
    </border>
    <border diagonalUp="false" diagonalDown="false"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1F3864"/>
      </top>
      <bottom/>
      <diagonal/>
    </border>
    <border diagonalUp="false" diagonalDown="false"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3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2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F2FA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B"/>
      <rgbColor rgb="FFF2F2F2"/>
      <rgbColor rgb="FFFFFF99"/>
      <rgbColor rgb="FFD9E1F2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B6B8C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4" min="4" style="1" width="6"/>
    <col collapsed="false" customWidth="true" hidden="false" outlineLevel="0" max="6" min="5" style="1" width="15"/>
    <col collapsed="false" customWidth="true" hidden="false" outlineLevel="0" max="7" min="7" style="1" width="6"/>
    <col collapsed="false" customWidth="true" hidden="false" outlineLevel="0" max="8" min="8" style="1" width="17"/>
    <col collapsed="false" customWidth="true" hidden="false" outlineLevel="0" max="9" min="9" style="1" width="2.5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B4" s="2"/>
      <c r="C4" s="2"/>
      <c r="D4" s="2"/>
      <c r="E4" s="2"/>
      <c r="F4" s="2"/>
      <c r="G4" s="2"/>
      <c r="H4" s="2"/>
    </row>
    <row r="5" customFormat="false" ht="18" hidden="false" customHeight="true" outlineLevel="0" collapsed="false">
      <c r="B5" s="3" t="s">
        <v>1</v>
      </c>
      <c r="C5" s="3"/>
      <c r="D5" s="3"/>
      <c r="E5" s="3"/>
      <c r="F5" s="3"/>
      <c r="G5" s="3"/>
      <c r="H5" s="3"/>
    </row>
    <row r="6" customFormat="false" ht="7.5" hidden="false" customHeight="true" outlineLevel="0" collapsed="false"/>
    <row r="7" customFormat="false" ht="13.5" hidden="false" customHeight="true" outlineLevel="0" collapsed="false">
      <c r="B7" s="4" t="s">
        <v>2</v>
      </c>
      <c r="C7" s="4"/>
      <c r="E7" s="4" t="s">
        <v>3</v>
      </c>
      <c r="F7" s="4"/>
      <c r="H7" s="4" t="s">
        <v>4</v>
      </c>
    </row>
    <row r="8" customFormat="false" ht="33.75" hidden="false" customHeight="true" outlineLevel="0" collapsed="false">
      <c r="B8" s="5" t="n">
        <f aca="false">Model!B74</f>
        <v>0.120087061929708</v>
      </c>
      <c r="C8" s="5"/>
      <c r="E8" s="6" t="n">
        <f aca="false">Model!B75</f>
        <v>13.4969218628615</v>
      </c>
      <c r="F8" s="6"/>
      <c r="H8" s="5" t="n">
        <f aca="false">Model!B42/Model!C37</f>
        <v>0.7</v>
      </c>
    </row>
    <row r="9" customFormat="false" ht="15.75" hidden="false" customHeight="true" outlineLevel="0" collapsed="false">
      <c r="B9" s="7" t="s">
        <v>5</v>
      </c>
      <c r="C9" s="7"/>
      <c r="E9" s="7" t="s">
        <v>6</v>
      </c>
      <c r="F9" s="7"/>
      <c r="H9" s="7" t="s">
        <v>7</v>
      </c>
    </row>
    <row r="10" customFormat="false" ht="7.5" hidden="false" customHeight="true" outlineLevel="0" collapsed="false"/>
    <row r="11" customFormat="false" ht="13.5" hidden="false" customHeight="true" outlineLevel="0" collapsed="false">
      <c r="B11" s="4" t="s">
        <v>8</v>
      </c>
      <c r="C11" s="4"/>
      <c r="E11" s="4" t="s">
        <v>9</v>
      </c>
      <c r="F11" s="4"/>
      <c r="H11" s="4" t="s">
        <v>10</v>
      </c>
    </row>
    <row r="12" customFormat="false" ht="33.75" hidden="false" customHeight="true" outlineLevel="0" collapsed="false">
      <c r="B12" s="8" t="n">
        <f aca="false">MIN(Model!C73:R97)</f>
        <v>1.53034559505744</v>
      </c>
      <c r="C12" s="8"/>
      <c r="E12" s="8" t="n">
        <f aca="false">AVERAGE(Model!C73:R97)</f>
        <v>1.64728739720522</v>
      </c>
      <c r="F12" s="8"/>
      <c r="H12" s="6" t="n">
        <f aca="false">Model!B43</f>
        <v>63.559322027751</v>
      </c>
    </row>
    <row r="13" customFormat="false" ht="15.75" hidden="false" customHeight="true" outlineLevel="0" collapsed="false">
      <c r="B13" s="7" t="s">
        <v>11</v>
      </c>
      <c r="C13" s="7"/>
      <c r="E13" s="7" t="s">
        <v>12</v>
      </c>
      <c r="F13" s="7"/>
      <c r="H13" s="7" t="s">
        <v>13</v>
      </c>
    </row>
    <row r="14" customFormat="false" ht="7.5" hidden="false" customHeight="true" outlineLevel="0" collapsed="false"/>
    <row r="15" customFormat="false" ht="19.5" hidden="false" customHeight="true" outlineLevel="0" collapsed="false">
      <c r="B15" s="9" t="s">
        <v>14</v>
      </c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B16" s="10" t="s">
        <v>15</v>
      </c>
      <c r="C16" s="10"/>
      <c r="D16" s="10"/>
      <c r="E16" s="10"/>
      <c r="F16" s="10"/>
      <c r="G16" s="11" t="n">
        <f aca="false">Model!B6</f>
        <v>50</v>
      </c>
      <c r="H16" s="11"/>
    </row>
    <row r="17" customFormat="false" ht="15" hidden="false" customHeight="true" outlineLevel="0" collapsed="false">
      <c r="B17" s="12" t="s">
        <v>16</v>
      </c>
      <c r="C17" s="12"/>
      <c r="D17" s="12"/>
      <c r="E17" s="12"/>
      <c r="F17" s="12"/>
      <c r="G17" s="13" t="n">
        <f aca="false">Model!C37</f>
        <v>211.86440675917</v>
      </c>
      <c r="H17" s="13"/>
    </row>
    <row r="18" customFormat="false" ht="15" hidden="false" customHeight="true" outlineLevel="0" collapsed="false">
      <c r="B18" s="10" t="s">
        <v>17</v>
      </c>
      <c r="C18" s="10"/>
      <c r="D18" s="10"/>
      <c r="E18" s="10"/>
      <c r="F18" s="10"/>
      <c r="G18" s="14" t="n">
        <f aca="false">Model!B42</f>
        <v>148.305084731419</v>
      </c>
      <c r="H18" s="14"/>
    </row>
    <row r="19" customFormat="false" ht="15" hidden="false" customHeight="true" outlineLevel="0" collapsed="false">
      <c r="B19" s="12" t="s">
        <v>18</v>
      </c>
      <c r="C19" s="12"/>
      <c r="D19" s="12"/>
      <c r="E19" s="12"/>
      <c r="F19" s="12"/>
      <c r="G19" s="13" t="n">
        <f aca="false">Model!B43</f>
        <v>63.559322027751</v>
      </c>
      <c r="H19" s="13"/>
    </row>
    <row r="20" customFormat="false" ht="15" hidden="false" customHeight="true" outlineLevel="0" collapsed="false">
      <c r="B20" s="10" t="s">
        <v>19</v>
      </c>
      <c r="C20" s="10"/>
      <c r="D20" s="10"/>
      <c r="E20" s="10"/>
      <c r="F20" s="10"/>
      <c r="G20" s="15" t="n">
        <f aca="false">Model!B44</f>
        <v>12</v>
      </c>
      <c r="H20" s="15"/>
    </row>
    <row r="21" customFormat="false" ht="15" hidden="false" customHeight="true" outlineLevel="0" collapsed="false">
      <c r="B21" s="12" t="s">
        <v>20</v>
      </c>
      <c r="C21" s="12"/>
      <c r="D21" s="12"/>
      <c r="E21" s="12"/>
      <c r="F21" s="12"/>
      <c r="G21" s="13" t="n">
        <f aca="false">Model!D58</f>
        <v>30.66</v>
      </c>
      <c r="H21" s="13"/>
    </row>
    <row r="22" customFormat="false" ht="15" hidden="false" customHeight="true" outlineLevel="0" collapsed="false">
      <c r="B22" s="10" t="s">
        <v>21</v>
      </c>
      <c r="C22" s="10"/>
      <c r="D22" s="10"/>
      <c r="E22" s="10"/>
      <c r="F22" s="10"/>
      <c r="G22" s="14" t="n">
        <f aca="false">Model!D60</f>
        <v>30.1162</v>
      </c>
      <c r="H22" s="14"/>
    </row>
    <row r="23" customFormat="false" ht="15" hidden="false" customHeight="true" outlineLevel="0" collapsed="false">
      <c r="B23" s="12" t="s">
        <v>22</v>
      </c>
      <c r="C23" s="12"/>
      <c r="D23" s="12"/>
      <c r="E23" s="12"/>
      <c r="F23" s="12"/>
      <c r="G23" s="16" t="n">
        <f aca="false">Model!D60/Model!D58</f>
        <v>0.982263535551207</v>
      </c>
      <c r="H23" s="16"/>
    </row>
    <row r="24" customFormat="false" ht="15" hidden="false" customHeight="true" outlineLevel="0" collapsed="false">
      <c r="B24" s="10" t="s">
        <v>23</v>
      </c>
      <c r="C24" s="10"/>
      <c r="D24" s="10"/>
      <c r="E24" s="10"/>
      <c r="F24" s="10"/>
      <c r="G24" s="17" t="n">
        <f aca="false">Discount_rate</f>
        <v>0.1</v>
      </c>
      <c r="H24" s="17"/>
    </row>
    <row r="26" customFormat="false" ht="15" hidden="false" customHeight="true" outlineLevel="0" collapsed="false">
      <c r="B26" s="18" t="s">
        <v>24</v>
      </c>
      <c r="C26" s="18"/>
      <c r="D26" s="18"/>
      <c r="E26" s="18"/>
      <c r="F26" s="18"/>
      <c r="G26" s="18"/>
      <c r="H26" s="18"/>
    </row>
  </sheetData>
  <mergeCells count="34">
    <mergeCell ref="B2:H4"/>
    <mergeCell ref="B5:H5"/>
    <mergeCell ref="B7:C7"/>
    <mergeCell ref="E7:F7"/>
    <mergeCell ref="B8:C8"/>
    <mergeCell ref="E8:F8"/>
    <mergeCell ref="B9:C9"/>
    <mergeCell ref="E9:F9"/>
    <mergeCell ref="B11:C11"/>
    <mergeCell ref="E11:F11"/>
    <mergeCell ref="B12:C12"/>
    <mergeCell ref="E12:F12"/>
    <mergeCell ref="B13:C13"/>
    <mergeCell ref="E13:F13"/>
    <mergeCell ref="B15:H15"/>
    <mergeCell ref="B16:F16"/>
    <mergeCell ref="G16:H16"/>
    <mergeCell ref="B17:F17"/>
    <mergeCell ref="G17:H17"/>
    <mergeCell ref="B18:F18"/>
    <mergeCell ref="G18:H18"/>
    <mergeCell ref="B19:F19"/>
    <mergeCell ref="G19:H19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9" min="9" style="1" width="2.5"/>
  </cols>
  <sheetData>
    <row r="2" customFormat="false" ht="21.75" hidden="false" customHeight="true" outlineLevel="0" collapsed="false">
      <c r="B2" s="2" t="s">
        <v>25</v>
      </c>
      <c r="C2" s="2"/>
      <c r="D2" s="2"/>
    </row>
    <row r="3" customFormat="false" ht="13.5" hidden="false" customHeight="true" outlineLevel="0" collapsed="false">
      <c r="B3" s="2"/>
      <c r="C3" s="2"/>
      <c r="D3" s="2"/>
    </row>
    <row r="4" customFormat="false" ht="15.75" hidden="false" customHeight="true" outlineLevel="0" collapsed="false">
      <c r="B4" s="3" t="s">
        <v>26</v>
      </c>
      <c r="C4" s="3"/>
      <c r="D4" s="3"/>
    </row>
    <row r="5" customFormat="false" ht="6" hidden="false" customHeight="true" outlineLevel="0" collapsed="false"/>
    <row r="6" customFormat="false" ht="18" hidden="false" customHeight="true" outlineLevel="0" collapsed="false">
      <c r="B6" s="9" t="s">
        <v>27</v>
      </c>
      <c r="C6" s="9"/>
      <c r="D6" s="9"/>
    </row>
    <row r="7" customFormat="false" ht="15" hidden="false" customHeight="true" outlineLevel="0" collapsed="false">
      <c r="B7" s="19" t="s">
        <v>28</v>
      </c>
      <c r="C7" s="20" t="n">
        <v>50</v>
      </c>
      <c r="D7" s="21" t="s">
        <v>29</v>
      </c>
    </row>
    <row r="8" customFormat="false" ht="15" hidden="false" customHeight="true" outlineLevel="0" collapsed="false">
      <c r="B8" s="19" t="s">
        <v>30</v>
      </c>
      <c r="C8" s="22" t="n">
        <v>0.2</v>
      </c>
      <c r="D8" s="21" t="s">
        <v>29</v>
      </c>
    </row>
    <row r="9" customFormat="false" ht="15" hidden="false" customHeight="true" outlineLevel="0" collapsed="false">
      <c r="B9" s="23" t="s">
        <v>31</v>
      </c>
      <c r="C9" s="24" t="n">
        <v>0.005</v>
      </c>
      <c r="D9" s="25"/>
    </row>
    <row r="10" customFormat="false" ht="15" hidden="false" customHeight="true" outlineLevel="0" collapsed="false">
      <c r="B10" s="26" t="s">
        <v>32</v>
      </c>
      <c r="C10" s="27" t="n">
        <v>15</v>
      </c>
      <c r="D10" s="28"/>
    </row>
    <row r="11" customFormat="false" ht="15" hidden="false" customHeight="true" outlineLevel="0" collapsed="false">
      <c r="B11" s="23" t="s">
        <v>33</v>
      </c>
      <c r="C11" s="29" t="n">
        <v>1</v>
      </c>
      <c r="D11" s="25"/>
    </row>
    <row r="12" customFormat="false" ht="15" hidden="false" customHeight="true" outlineLevel="0" collapsed="false">
      <c r="B12" s="19" t="s">
        <v>34</v>
      </c>
      <c r="C12" s="30" t="n">
        <v>3500</v>
      </c>
      <c r="D12" s="21" t="s">
        <v>29</v>
      </c>
    </row>
    <row r="13" customFormat="false" ht="15" hidden="false" customHeight="true" outlineLevel="0" collapsed="false">
      <c r="B13" s="23" t="s">
        <v>35</v>
      </c>
      <c r="C13" s="24" t="n">
        <v>0.02</v>
      </c>
      <c r="D13" s="25"/>
    </row>
    <row r="14" customFormat="false" ht="15" hidden="false" customHeight="true" outlineLevel="0" collapsed="false">
      <c r="B14" s="26" t="s">
        <v>36</v>
      </c>
      <c r="C14" s="27" t="n">
        <v>8760</v>
      </c>
      <c r="D14" s="28"/>
    </row>
    <row r="16" customFormat="false" ht="18" hidden="false" customHeight="true" outlineLevel="0" collapsed="false">
      <c r="B16" s="9" t="s">
        <v>37</v>
      </c>
      <c r="C16" s="9"/>
      <c r="D16" s="9"/>
    </row>
    <row r="17" customFormat="false" ht="15" hidden="false" customHeight="true" outlineLevel="0" collapsed="false">
      <c r="B17" s="23" t="s">
        <v>38</v>
      </c>
      <c r="C17" s="31" t="n">
        <v>100000</v>
      </c>
      <c r="D17" s="25"/>
    </row>
    <row r="18" customFormat="false" ht="15" hidden="false" customHeight="true" outlineLevel="0" collapsed="false">
      <c r="B18" s="26" t="s">
        <v>39</v>
      </c>
      <c r="C18" s="32" t="n">
        <v>5</v>
      </c>
      <c r="D18" s="28"/>
    </row>
    <row r="19" customFormat="false" ht="15" hidden="false" customHeight="true" outlineLevel="0" collapsed="false">
      <c r="B19" s="23" t="s">
        <v>40</v>
      </c>
      <c r="C19" s="24" t="n">
        <v>0.03</v>
      </c>
      <c r="D19" s="25"/>
    </row>
    <row r="21" customFormat="false" ht="18" hidden="false" customHeight="true" outlineLevel="0" collapsed="false">
      <c r="B21" s="9" t="s">
        <v>41</v>
      </c>
      <c r="C21" s="9"/>
      <c r="D21" s="9"/>
    </row>
    <row r="22" customFormat="false" ht="15" hidden="false" customHeight="true" outlineLevel="0" collapsed="false">
      <c r="B22" s="19" t="s">
        <v>42</v>
      </c>
      <c r="C22" s="33" t="n">
        <v>200</v>
      </c>
      <c r="D22" s="21" t="s">
        <v>29</v>
      </c>
    </row>
    <row r="23" customFormat="false" ht="15" hidden="false" customHeight="true" outlineLevel="0" collapsed="false">
      <c r="B23" s="19" t="s">
        <v>43</v>
      </c>
      <c r="C23" s="22" t="n">
        <v>0.7</v>
      </c>
      <c r="D23" s="21" t="s">
        <v>29</v>
      </c>
    </row>
    <row r="24" customFormat="false" ht="15" hidden="false" customHeight="true" outlineLevel="0" collapsed="false">
      <c r="B24" s="23" t="s">
        <v>44</v>
      </c>
      <c r="C24" s="29" t="n">
        <v>12</v>
      </c>
      <c r="D24" s="25"/>
    </row>
    <row r="25" customFormat="false" ht="15" hidden="false" customHeight="true" outlineLevel="0" collapsed="false">
      <c r="B25" s="19" t="s">
        <v>45</v>
      </c>
      <c r="C25" s="22" t="n">
        <v>0.08</v>
      </c>
      <c r="D25" s="21" t="s">
        <v>29</v>
      </c>
    </row>
    <row r="26" customFormat="false" ht="15" hidden="false" customHeight="true" outlineLevel="0" collapsed="false">
      <c r="B26" s="23" t="s">
        <v>46</v>
      </c>
      <c r="C26" s="29" t="n">
        <v>1</v>
      </c>
      <c r="D26" s="25"/>
    </row>
    <row r="27" customFormat="false" ht="15" hidden="false" customHeight="true" outlineLevel="0" collapsed="false">
      <c r="B27" s="26" t="s">
        <v>47</v>
      </c>
      <c r="C27" s="34" t="n">
        <v>0.25</v>
      </c>
      <c r="D27" s="28"/>
    </row>
    <row r="28" customFormat="false" ht="15" hidden="false" customHeight="true" outlineLevel="0" collapsed="false">
      <c r="B28" s="23" t="s">
        <v>48</v>
      </c>
      <c r="C28" s="29" t="n">
        <v>15</v>
      </c>
      <c r="D28" s="25"/>
    </row>
    <row r="29" customFormat="false" ht="15" hidden="false" customHeight="true" outlineLevel="0" collapsed="false">
      <c r="B29" s="26" t="s">
        <v>49</v>
      </c>
      <c r="C29" s="34" t="n">
        <v>0.1</v>
      </c>
      <c r="D29" s="28"/>
    </row>
    <row r="31" customFormat="false" ht="18" hidden="false" customHeight="true" outlineLevel="0" collapsed="false">
      <c r="B31" s="9" t="s">
        <v>50</v>
      </c>
      <c r="C31" s="9"/>
      <c r="D31" s="9"/>
    </row>
    <row r="32" customFormat="false" ht="15" hidden="false" customHeight="true" outlineLevel="0" collapsed="false">
      <c r="B32" s="23" t="s">
        <v>51</v>
      </c>
      <c r="C32" s="29" t="n">
        <v>30</v>
      </c>
      <c r="D32" s="25"/>
    </row>
    <row r="33" customFormat="false" ht="15" hidden="false" customHeight="true" outlineLevel="0" collapsed="false">
      <c r="B33" s="26" t="s">
        <v>52</v>
      </c>
      <c r="C33" s="27" t="n">
        <v>6</v>
      </c>
      <c r="D33" s="28"/>
    </row>
    <row r="34" customFormat="false" ht="15" hidden="false" customHeight="true" outlineLevel="0" collapsed="false">
      <c r="B34" s="19" t="s">
        <v>23</v>
      </c>
      <c r="C34" s="22" t="n">
        <v>0.1</v>
      </c>
      <c r="D34" s="21" t="s">
        <v>29</v>
      </c>
    </row>
  </sheetData>
  <mergeCells count="6">
    <mergeCell ref="B2:D3"/>
    <mergeCell ref="B4:D4"/>
    <mergeCell ref="B6:D6"/>
    <mergeCell ref="B16:D16"/>
    <mergeCell ref="B21:D21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"/>
    <col collapsed="false" customWidth="true" hidden="false" outlineLevel="0" max="18" min="3" style="1" width="10.51"/>
  </cols>
  <sheetData>
    <row r="1" customFormat="false" ht="19.5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54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/>
    <row r="5" customFormat="false" ht="18" hidden="false" customHeight="true" outlineLevel="0" collapsed="false">
      <c r="A5" s="35" t="s">
        <v>55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customFormat="false" ht="15" hidden="false" customHeight="true" outlineLevel="0" collapsed="false">
      <c r="A6" s="37" t="s">
        <v>28</v>
      </c>
      <c r="B6" s="38" t="n">
        <f aca="false">Capacity</f>
        <v>50</v>
      </c>
    </row>
    <row r="7" customFormat="false" ht="15" hidden="false" customHeight="true" outlineLevel="0" collapsed="false">
      <c r="A7" s="37" t="s">
        <v>56</v>
      </c>
      <c r="B7" s="39" t="n">
        <f aca="false">Capacity_factor</f>
        <v>0.2</v>
      </c>
    </row>
    <row r="8" customFormat="false" ht="15" hidden="false" customHeight="true" outlineLevel="0" collapsed="false">
      <c r="A8" s="37" t="s">
        <v>57</v>
      </c>
      <c r="B8" s="39" t="n">
        <f aca="false">Ann_degradation</f>
        <v>0.005</v>
      </c>
    </row>
    <row r="9" customFormat="false" ht="15" hidden="false" customHeight="true" outlineLevel="0" collapsed="false">
      <c r="A9" s="37" t="s">
        <v>34</v>
      </c>
      <c r="B9" s="40" t="n">
        <f aca="false">PPA_tariff</f>
        <v>3500</v>
      </c>
    </row>
    <row r="10" customFormat="false" ht="15" hidden="false" customHeight="true" outlineLevel="0" collapsed="false">
      <c r="A10" s="37" t="s">
        <v>58</v>
      </c>
      <c r="B10" s="39" t="n">
        <f aca="false">Annual_tariff</f>
        <v>0.02</v>
      </c>
    </row>
    <row r="11" customFormat="false" ht="15" hidden="false" customHeight="true" outlineLevel="0" collapsed="false">
      <c r="A11" s="37" t="s">
        <v>59</v>
      </c>
      <c r="B11" s="38" t="n">
        <f aca="false">Yearly_hours</f>
        <v>8760</v>
      </c>
    </row>
    <row r="12" customFormat="false" ht="15" hidden="false" customHeight="true" outlineLevel="0" collapsed="false">
      <c r="B12" s="41" t="s">
        <v>60</v>
      </c>
      <c r="C12" s="42" t="n">
        <v>1</v>
      </c>
      <c r="D12" s="42" t="n">
        <v>2</v>
      </c>
      <c r="E12" s="42" t="n">
        <v>3</v>
      </c>
      <c r="F12" s="42" t="n">
        <v>4</v>
      </c>
      <c r="G12" s="42" t="n">
        <v>5</v>
      </c>
      <c r="H12" s="42" t="n">
        <v>6</v>
      </c>
      <c r="I12" s="42" t="n">
        <v>7</v>
      </c>
      <c r="J12" s="42" t="n">
        <v>8</v>
      </c>
      <c r="K12" s="42" t="n">
        <v>9</v>
      </c>
      <c r="L12" s="42" t="n">
        <v>10</v>
      </c>
      <c r="M12" s="42" t="n">
        <v>11</v>
      </c>
      <c r="N12" s="42" t="n">
        <v>12</v>
      </c>
      <c r="O12" s="42" t="n">
        <v>13</v>
      </c>
      <c r="P12" s="42" t="n">
        <v>14</v>
      </c>
      <c r="Q12" s="42" t="n">
        <v>15</v>
      </c>
      <c r="R12" s="42" t="n">
        <v>16</v>
      </c>
    </row>
    <row r="13" customFormat="false" ht="15" hidden="false" customHeight="true" outlineLevel="0" collapsed="false">
      <c r="A13" s="37" t="s">
        <v>61</v>
      </c>
      <c r="C13" s="43" t="n">
        <v>0</v>
      </c>
      <c r="D13" s="43" t="n">
        <v>1</v>
      </c>
      <c r="E13" s="43" t="n">
        <v>1</v>
      </c>
      <c r="F13" s="43" t="n">
        <v>1</v>
      </c>
      <c r="G13" s="43" t="n">
        <v>1</v>
      </c>
      <c r="H13" s="43" t="n">
        <v>1</v>
      </c>
      <c r="I13" s="43" t="n">
        <v>1</v>
      </c>
      <c r="J13" s="43" t="n">
        <v>1</v>
      </c>
      <c r="K13" s="43" t="n">
        <v>1</v>
      </c>
      <c r="L13" s="43" t="n">
        <v>1</v>
      </c>
      <c r="M13" s="43" t="n">
        <v>1</v>
      </c>
      <c r="N13" s="43" t="n">
        <v>1</v>
      </c>
      <c r="O13" s="43" t="n">
        <v>1</v>
      </c>
      <c r="P13" s="43" t="n">
        <v>1</v>
      </c>
      <c r="Q13" s="43" t="n">
        <v>1</v>
      </c>
      <c r="R13" s="43" t="n">
        <v>1</v>
      </c>
    </row>
    <row r="14" customFormat="false" ht="15" hidden="false" customHeight="true" outlineLevel="0" collapsed="false">
      <c r="A14" s="37" t="s">
        <v>62</v>
      </c>
      <c r="C14" s="44" t="n">
        <f aca="false">Capacity*Capacity_factor*Yearly_hours*(1-Ann_degradation)^(C12-2)*C13</f>
        <v>0</v>
      </c>
      <c r="D14" s="44" t="n">
        <f aca="false">Capacity*Capacity_factor*Yearly_hours*(1-Ann_degradation)^(D12-2)*D13</f>
        <v>87600</v>
      </c>
      <c r="E14" s="44" t="n">
        <f aca="false">Capacity*Capacity_factor*Yearly_hours*(1-Ann_degradation)^(E12-2)*E13</f>
        <v>87162</v>
      </c>
      <c r="F14" s="44" t="n">
        <f aca="false">Capacity*Capacity_factor*Yearly_hours*(1-Ann_degradation)^(F12-2)*F13</f>
        <v>86726.19</v>
      </c>
      <c r="G14" s="44" t="n">
        <f aca="false">Capacity*Capacity_factor*Yearly_hours*(1-Ann_degradation)^(G12-2)*G13</f>
        <v>86292.55905</v>
      </c>
      <c r="H14" s="44" t="n">
        <f aca="false">Capacity*Capacity_factor*Yearly_hours*(1-Ann_degradation)^(H12-2)*H13</f>
        <v>85861.09625475</v>
      </c>
      <c r="I14" s="44" t="n">
        <f aca="false">Capacity*Capacity_factor*Yearly_hours*(1-Ann_degradation)^(I12-2)*I13</f>
        <v>85431.7907734762</v>
      </c>
      <c r="J14" s="44" t="n">
        <f aca="false">Capacity*Capacity_factor*Yearly_hours*(1-Ann_degradation)^(J12-2)*J13</f>
        <v>85004.6318196089</v>
      </c>
      <c r="K14" s="44" t="n">
        <f aca="false">Capacity*Capacity_factor*Yearly_hours*(1-Ann_degradation)^(K12-2)*K13</f>
        <v>84579.6086605108</v>
      </c>
      <c r="L14" s="44" t="n">
        <f aca="false">Capacity*Capacity_factor*Yearly_hours*(1-Ann_degradation)^(L12-2)*L13</f>
        <v>84156.7106172083</v>
      </c>
      <c r="M14" s="44" t="n">
        <f aca="false">Capacity*Capacity_factor*Yearly_hours*(1-Ann_degradation)^(M12-2)*M13</f>
        <v>83735.9270641222</v>
      </c>
      <c r="N14" s="44" t="n">
        <f aca="false">Capacity*Capacity_factor*Yearly_hours*(1-Ann_degradation)^(N12-2)*N13</f>
        <v>83317.2474288016</v>
      </c>
      <c r="O14" s="44" t="n">
        <f aca="false">Capacity*Capacity_factor*Yearly_hours*(1-Ann_degradation)^(O12-2)*O13</f>
        <v>82900.6611916576</v>
      </c>
      <c r="P14" s="44" t="n">
        <f aca="false">Capacity*Capacity_factor*Yearly_hours*(1-Ann_degradation)^(P12-2)*P13</f>
        <v>82486.1578856993</v>
      </c>
      <c r="Q14" s="44" t="n">
        <f aca="false">Capacity*Capacity_factor*Yearly_hours*(1-Ann_degradation)^(Q12-2)*Q13</f>
        <v>82073.7270962708</v>
      </c>
      <c r="R14" s="44" t="n">
        <f aca="false">Capacity*Capacity_factor*Yearly_hours*(1-Ann_degradation)^(R12-2)*R13</f>
        <v>81663.3584607895</v>
      </c>
    </row>
    <row r="15" customFormat="false" ht="15" hidden="false" customHeight="true" outlineLevel="0" collapsed="false">
      <c r="A15" s="37" t="s">
        <v>63</v>
      </c>
      <c r="C15" s="45" t="n">
        <f aca="false">PPA_tariff*(1+Annual_tariff)^(C12-2)*C13</f>
        <v>0</v>
      </c>
      <c r="D15" s="45" t="n">
        <f aca="false">PPA_tariff*(1+Annual_tariff)^(D12-2)*D13</f>
        <v>3500</v>
      </c>
      <c r="E15" s="45" t="n">
        <f aca="false">PPA_tariff*(1+Annual_tariff)^(E12-2)*E13</f>
        <v>3570</v>
      </c>
      <c r="F15" s="45" t="n">
        <f aca="false">PPA_tariff*(1+Annual_tariff)^(F12-2)*F13</f>
        <v>3641.4</v>
      </c>
      <c r="G15" s="45" t="n">
        <f aca="false">PPA_tariff*(1+Annual_tariff)^(G12-2)*G13</f>
        <v>3714.228</v>
      </c>
      <c r="H15" s="45" t="n">
        <f aca="false">PPA_tariff*(1+Annual_tariff)^(H12-2)*H13</f>
        <v>3788.51256</v>
      </c>
      <c r="I15" s="45" t="n">
        <f aca="false">PPA_tariff*(1+Annual_tariff)^(I12-2)*I13</f>
        <v>3864.2828112</v>
      </c>
      <c r="J15" s="45" t="n">
        <f aca="false">PPA_tariff*(1+Annual_tariff)^(J12-2)*J13</f>
        <v>3941.568467424</v>
      </c>
      <c r="K15" s="45" t="n">
        <f aca="false">PPA_tariff*(1+Annual_tariff)^(K12-2)*K13</f>
        <v>4020.39983677248</v>
      </c>
      <c r="L15" s="45" t="n">
        <f aca="false">PPA_tariff*(1+Annual_tariff)^(L12-2)*L13</f>
        <v>4100.80783350793</v>
      </c>
      <c r="M15" s="45" t="n">
        <f aca="false">PPA_tariff*(1+Annual_tariff)^(M12-2)*M13</f>
        <v>4182.82399017809</v>
      </c>
      <c r="N15" s="45" t="n">
        <f aca="false">PPA_tariff*(1+Annual_tariff)^(N12-2)*N13</f>
        <v>4266.48046998165</v>
      </c>
      <c r="O15" s="45" t="n">
        <f aca="false">PPA_tariff*(1+Annual_tariff)^(O12-2)*O13</f>
        <v>4351.81007938128</v>
      </c>
      <c r="P15" s="45" t="n">
        <f aca="false">PPA_tariff*(1+Annual_tariff)^(P12-2)*P13</f>
        <v>4438.84628096891</v>
      </c>
      <c r="Q15" s="45" t="n">
        <f aca="false">PPA_tariff*(1+Annual_tariff)^(Q12-2)*Q13</f>
        <v>4527.62320658829</v>
      </c>
      <c r="R15" s="45" t="n">
        <f aca="false">PPA_tariff*(1+Annual_tariff)^(R12-2)*R13</f>
        <v>4618.17567072005</v>
      </c>
    </row>
    <row r="16" customFormat="false" ht="15" hidden="false" customHeight="true" outlineLevel="0" collapsed="false">
      <c r="A16" s="46" t="s">
        <v>64</v>
      </c>
      <c r="C16" s="47" t="n">
        <f aca="false">C14*C15/10^7</f>
        <v>0</v>
      </c>
      <c r="D16" s="47" t="n">
        <f aca="false">D14*D15/10^7</f>
        <v>30.66</v>
      </c>
      <c r="E16" s="47" t="n">
        <f aca="false">E14*E15/10^7</f>
        <v>31.116834</v>
      </c>
      <c r="F16" s="47" t="n">
        <f aca="false">F14*F15/10^7</f>
        <v>31.5804748266</v>
      </c>
      <c r="G16" s="47" t="n">
        <f aca="false">G14*G15/10^7</f>
        <v>32.0510239015163</v>
      </c>
      <c r="H16" s="47" t="n">
        <f aca="false">H14*H15/10^7</f>
        <v>32.5285841576489</v>
      </c>
      <c r="I16" s="47" t="n">
        <f aca="false">I14*I15/10^7</f>
        <v>33.0132600615979</v>
      </c>
      <c r="J16" s="47" t="n">
        <f aca="false">J14*J15/10^7</f>
        <v>33.5051576365157</v>
      </c>
      <c r="K16" s="47" t="n">
        <f aca="false">K14*K15/10^7</f>
        <v>34.0043844852998</v>
      </c>
      <c r="L16" s="47" t="n">
        <f aca="false">L14*L15/10^7</f>
        <v>34.5110498141308</v>
      </c>
      <c r="M16" s="47" t="n">
        <f aca="false">M14*M15/10^7</f>
        <v>35.0252644563613</v>
      </c>
      <c r="N16" s="47" t="n">
        <f aca="false">N14*N15/10^7</f>
        <v>35.5471408967611</v>
      </c>
      <c r="O16" s="47" t="n">
        <f aca="false">O14*O15/10^7</f>
        <v>36.0767932961228</v>
      </c>
      <c r="P16" s="47" t="n">
        <f aca="false">P14*P15/10^7</f>
        <v>36.6143375162351</v>
      </c>
      <c r="Q16" s="47" t="n">
        <f aca="false">Q14*Q15/10^7</f>
        <v>37.159891145227</v>
      </c>
      <c r="R16" s="47" t="n">
        <f aca="false">R14*R15/10^7</f>
        <v>37.7135735232909</v>
      </c>
    </row>
    <row r="18" customFormat="false" ht="18" hidden="false" customHeight="true" outlineLevel="0" collapsed="false">
      <c r="A18" s="35" t="s">
        <v>65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 customFormat="false" ht="15" hidden="false" customHeight="true" outlineLevel="0" collapsed="false">
      <c r="B19" s="41" t="s">
        <v>60</v>
      </c>
      <c r="C19" s="42" t="n">
        <v>1</v>
      </c>
      <c r="D19" s="42" t="n">
        <v>2</v>
      </c>
      <c r="E19" s="42" t="n">
        <v>3</v>
      </c>
      <c r="F19" s="42" t="n">
        <v>4</v>
      </c>
      <c r="G19" s="42" t="n">
        <v>5</v>
      </c>
      <c r="H19" s="42" t="n">
        <v>6</v>
      </c>
      <c r="I19" s="42" t="n">
        <v>7</v>
      </c>
      <c r="J19" s="42" t="n">
        <v>8</v>
      </c>
      <c r="K19" s="42" t="n">
        <v>9</v>
      </c>
      <c r="L19" s="42" t="n">
        <v>10</v>
      </c>
      <c r="M19" s="42" t="n">
        <v>11</v>
      </c>
      <c r="N19" s="42" t="n">
        <v>12</v>
      </c>
      <c r="O19" s="42" t="n">
        <v>13</v>
      </c>
      <c r="P19" s="42" t="n">
        <v>14</v>
      </c>
      <c r="Q19" s="42" t="n">
        <v>15</v>
      </c>
      <c r="R19" s="42" t="n">
        <v>16</v>
      </c>
    </row>
    <row r="20" customFormat="false" ht="15" hidden="false" customHeight="true" outlineLevel="0" collapsed="false">
      <c r="A20" s="37" t="s">
        <v>66</v>
      </c>
      <c r="D20" s="48" t="n">
        <f aca="false">(1+Inflation_OM)^(C19-1)</f>
        <v>1</v>
      </c>
      <c r="E20" s="48" t="n">
        <f aca="false">(1+Inflation_OM)^(D19-1)</f>
        <v>1.03</v>
      </c>
      <c r="F20" s="48" t="n">
        <f aca="false">(1+Inflation_OM)^(E19-1)</f>
        <v>1.0609</v>
      </c>
      <c r="G20" s="48" t="n">
        <f aca="false">(1+Inflation_OM)^(F19-1)</f>
        <v>1.092727</v>
      </c>
      <c r="H20" s="48" t="n">
        <f aca="false">(1+Inflation_OM)^(G19-1)</f>
        <v>1.12550881</v>
      </c>
      <c r="I20" s="48" t="n">
        <f aca="false">(1+Inflation_OM)^(H19-1)</f>
        <v>1.1592740743</v>
      </c>
      <c r="J20" s="48" t="n">
        <f aca="false">(1+Inflation_OM)^(I19-1)</f>
        <v>1.194052296529</v>
      </c>
      <c r="K20" s="48" t="n">
        <f aca="false">(1+Inflation_OM)^(J19-1)</f>
        <v>1.22987386542487</v>
      </c>
      <c r="L20" s="48" t="n">
        <f aca="false">(1+Inflation_OM)^(K19-1)</f>
        <v>1.26677008138762</v>
      </c>
      <c r="M20" s="48" t="n">
        <f aca="false">(1+Inflation_OM)^(L19-1)</f>
        <v>1.30477318382925</v>
      </c>
      <c r="N20" s="48" t="n">
        <f aca="false">(1+Inflation_OM)^(M19-1)</f>
        <v>1.34391637934412</v>
      </c>
      <c r="O20" s="48" t="n">
        <f aca="false">(1+Inflation_OM)^(N19-1)</f>
        <v>1.38423387072445</v>
      </c>
      <c r="P20" s="48" t="n">
        <f aca="false">(1+Inflation_OM)^(O19-1)</f>
        <v>1.42576088684618</v>
      </c>
      <c r="Q20" s="48" t="n">
        <f aca="false">(1+Inflation_OM)^(P19-1)</f>
        <v>1.46853371345156</v>
      </c>
      <c r="R20" s="48" t="n">
        <f aca="false">(1+Inflation_OM)^(Q19-1)</f>
        <v>1.51258972485511</v>
      </c>
    </row>
    <row r="21" customFormat="false" ht="15" hidden="false" customHeight="true" outlineLevel="0" collapsed="false">
      <c r="A21" s="37" t="s">
        <v>67</v>
      </c>
      <c r="D21" s="48" t="n">
        <f aca="false">Capacity*Fixed_OM*D20/10^7</f>
        <v>0.5</v>
      </c>
      <c r="E21" s="48" t="n">
        <f aca="false">Capacity*Fixed_OM*E20/10^7</f>
        <v>0.515</v>
      </c>
      <c r="F21" s="48" t="n">
        <f aca="false">Capacity*Fixed_OM*F20/10^7</f>
        <v>0.53045</v>
      </c>
      <c r="G21" s="48" t="n">
        <f aca="false">Capacity*Fixed_OM*G20/10^7</f>
        <v>0.5463635</v>
      </c>
      <c r="H21" s="48" t="n">
        <f aca="false">Capacity*Fixed_OM*H20/10^7</f>
        <v>0.562754405</v>
      </c>
      <c r="I21" s="48" t="n">
        <f aca="false">Capacity*Fixed_OM*I20/10^7</f>
        <v>0.57963703715</v>
      </c>
      <c r="J21" s="48" t="n">
        <f aca="false">Capacity*Fixed_OM*J20/10^7</f>
        <v>0.5970261482645</v>
      </c>
      <c r="K21" s="48" t="n">
        <f aca="false">Capacity*Fixed_OM*K20/10^7</f>
        <v>0.614936932712435</v>
      </c>
      <c r="L21" s="48" t="n">
        <f aca="false">Capacity*Fixed_OM*L20/10^7</f>
        <v>0.633385040693808</v>
      </c>
      <c r="M21" s="48" t="n">
        <f aca="false">Capacity*Fixed_OM*M20/10^7</f>
        <v>0.652386591914622</v>
      </c>
      <c r="N21" s="48" t="n">
        <f aca="false">Capacity*Fixed_OM*N20/10^7</f>
        <v>0.671958189672061</v>
      </c>
      <c r="O21" s="48" t="n">
        <f aca="false">Capacity*Fixed_OM*O20/10^7</f>
        <v>0.692116935362223</v>
      </c>
      <c r="P21" s="48" t="n">
        <f aca="false">Capacity*Fixed_OM*P20/10^7</f>
        <v>0.71288044342309</v>
      </c>
      <c r="Q21" s="48" t="n">
        <f aca="false">Capacity*Fixed_OM*Q20/10^7</f>
        <v>0.734266856725782</v>
      </c>
      <c r="R21" s="48" t="n">
        <f aca="false">Capacity*Fixed_OM*R20/10^7</f>
        <v>0.756294862427556</v>
      </c>
    </row>
    <row r="22" customFormat="false" ht="15" hidden="false" customHeight="true" outlineLevel="0" collapsed="false">
      <c r="A22" s="37" t="s">
        <v>68</v>
      </c>
      <c r="D22" s="48" t="n">
        <f aca="false">Variable_OM*D14*D20/10^7</f>
        <v>0.0438</v>
      </c>
      <c r="E22" s="48" t="n">
        <f aca="false">Variable_OM*E14*E20/10^7</f>
        <v>0.04488843</v>
      </c>
      <c r="F22" s="48" t="n">
        <f aca="false">Variable_OM*F14*F20/10^7</f>
        <v>0.0460039074855</v>
      </c>
      <c r="G22" s="48" t="n">
        <f aca="false">Variable_OM*G14*G20/10^7</f>
        <v>0.0471471045865147</v>
      </c>
      <c r="H22" s="48" t="n">
        <f aca="false">Variable_OM*H14*H20/10^7</f>
        <v>0.0483187101354896</v>
      </c>
      <c r="I22" s="48" t="n">
        <f aca="false">Variable_OM*I14*I20/10^7</f>
        <v>0.0495194300823565</v>
      </c>
      <c r="J22" s="48" t="n">
        <f aca="false">Variable_OM*J14*J20/10^7</f>
        <v>0.050749987919903</v>
      </c>
      <c r="K22" s="48" t="n">
        <f aca="false">Variable_OM*K14*K20/10^7</f>
        <v>0.0520111251197126</v>
      </c>
      <c r="L22" s="48" t="n">
        <f aca="false">Variable_OM*L14*L20/10^7</f>
        <v>0.0533036015789375</v>
      </c>
      <c r="M22" s="48" t="n">
        <f aca="false">Variable_OM*M14*M20/10^7</f>
        <v>0.0546281960781741</v>
      </c>
      <c r="N22" s="48" t="n">
        <f aca="false">Variable_OM*N14*N20/10^7</f>
        <v>0.0559857067507167</v>
      </c>
      <c r="O22" s="48" t="n">
        <f aca="false">Variable_OM*O14*O20/10^7</f>
        <v>0.057376951563472</v>
      </c>
      <c r="P22" s="48" t="n">
        <f aca="false">Variable_OM*P14*P20/10^7</f>
        <v>0.0588027688098243</v>
      </c>
      <c r="Q22" s="48" t="n">
        <f aca="false">Variable_OM*Q14*Q20/10^7</f>
        <v>0.0602640176147484</v>
      </c>
      <c r="R22" s="48" t="n">
        <f aca="false">Variable_OM*R14*R20/10^7</f>
        <v>0.061761578452475</v>
      </c>
    </row>
    <row r="23" customFormat="false" ht="15" hidden="false" customHeight="true" outlineLevel="0" collapsed="false">
      <c r="A23" s="46" t="s">
        <v>69</v>
      </c>
      <c r="D23" s="47" t="n">
        <f aca="false">SUM(D21,D22)</f>
        <v>0.5438</v>
      </c>
      <c r="E23" s="47" t="n">
        <f aca="false">SUM(E21,E22)</f>
        <v>0.55988843</v>
      </c>
      <c r="F23" s="47" t="n">
        <f aca="false">SUM(F21,F22)</f>
        <v>0.5764539074855</v>
      </c>
      <c r="G23" s="47" t="n">
        <f aca="false">SUM(G21,G22)</f>
        <v>0.593510604586515</v>
      </c>
      <c r="H23" s="47" t="n">
        <f aca="false">SUM(H21,H22)</f>
        <v>0.61107311513549</v>
      </c>
      <c r="I23" s="47" t="n">
        <f aca="false">SUM(I21,I22)</f>
        <v>0.629156467232357</v>
      </c>
      <c r="J23" s="47" t="n">
        <f aca="false">SUM(J21,J22)</f>
        <v>0.647776136184403</v>
      </c>
      <c r="K23" s="47" t="n">
        <f aca="false">SUM(K21,K22)</f>
        <v>0.666948057832148</v>
      </c>
      <c r="L23" s="47" t="n">
        <f aca="false">SUM(L21,L22)</f>
        <v>0.686688642272746</v>
      </c>
      <c r="M23" s="47" t="n">
        <f aca="false">SUM(M21,M22)</f>
        <v>0.707014787992797</v>
      </c>
      <c r="N23" s="47" t="n">
        <f aca="false">SUM(N21,N22)</f>
        <v>0.727943896422778</v>
      </c>
      <c r="O23" s="47" t="n">
        <f aca="false">SUM(O21,O22)</f>
        <v>0.749493886925695</v>
      </c>
      <c r="P23" s="47" t="n">
        <f aca="false">SUM(P21,P22)</f>
        <v>0.771683212232914</v>
      </c>
      <c r="Q23" s="47" t="n">
        <f aca="false">SUM(Q21,Q22)</f>
        <v>0.794530874340531</v>
      </c>
      <c r="R23" s="47" t="n">
        <f aca="false">SUM(R21,R22)</f>
        <v>0.818056440880031</v>
      </c>
    </row>
    <row r="25" customFormat="false" ht="18" hidden="false" customHeight="true" outlineLevel="0" collapsed="false">
      <c r="A25" s="35" t="s">
        <v>70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customFormat="false" ht="15" hidden="false" customHeight="true" outlineLevel="0" collapsed="false">
      <c r="B26" s="41" t="s">
        <v>60</v>
      </c>
      <c r="C26" s="42" t="n">
        <v>1</v>
      </c>
      <c r="D26" s="42" t="n">
        <v>2</v>
      </c>
      <c r="E26" s="42" t="n">
        <v>3</v>
      </c>
      <c r="F26" s="42" t="n">
        <v>4</v>
      </c>
      <c r="G26" s="42" t="n">
        <v>5</v>
      </c>
      <c r="H26" s="42" t="n">
        <v>6</v>
      </c>
      <c r="I26" s="42" t="n">
        <v>7</v>
      </c>
      <c r="J26" s="42" t="n">
        <v>8</v>
      </c>
      <c r="K26" s="42" t="n">
        <v>9</v>
      </c>
      <c r="L26" s="42" t="n">
        <v>10</v>
      </c>
      <c r="M26" s="42" t="n">
        <v>11</v>
      </c>
      <c r="N26" s="42" t="n">
        <v>12</v>
      </c>
      <c r="O26" s="42" t="n">
        <v>13</v>
      </c>
      <c r="P26" s="42" t="n">
        <v>14</v>
      </c>
      <c r="Q26" s="42" t="n">
        <v>15</v>
      </c>
      <c r="R26" s="42" t="n">
        <v>16</v>
      </c>
    </row>
    <row r="27" customFormat="false" ht="15" hidden="false" customHeight="true" outlineLevel="0" collapsed="false">
      <c r="A27" s="37" t="s">
        <v>71</v>
      </c>
      <c r="D27" s="48" t="n">
        <f aca="false">D16</f>
        <v>30.66</v>
      </c>
      <c r="E27" s="48" t="n">
        <f aca="false">E16</f>
        <v>31.116834</v>
      </c>
      <c r="F27" s="48" t="n">
        <f aca="false">F16</f>
        <v>31.5804748266</v>
      </c>
      <c r="G27" s="48" t="n">
        <f aca="false">G16</f>
        <v>32.0510239015163</v>
      </c>
      <c r="H27" s="48" t="n">
        <f aca="false">H16</f>
        <v>32.5285841576489</v>
      </c>
      <c r="I27" s="48" t="n">
        <f aca="false">I16</f>
        <v>33.0132600615979</v>
      </c>
      <c r="J27" s="48" t="n">
        <f aca="false">J16</f>
        <v>33.5051576365157</v>
      </c>
      <c r="K27" s="48" t="n">
        <f aca="false">K16</f>
        <v>34.0043844852998</v>
      </c>
      <c r="L27" s="48" t="n">
        <f aca="false">L16</f>
        <v>34.5110498141308</v>
      </c>
      <c r="M27" s="48" t="n">
        <f aca="false">M16</f>
        <v>35.0252644563613</v>
      </c>
      <c r="N27" s="48" t="n">
        <f aca="false">N16</f>
        <v>35.5471408967611</v>
      </c>
      <c r="O27" s="48" t="n">
        <f aca="false">O16</f>
        <v>36.0767932961228</v>
      </c>
      <c r="P27" s="48" t="n">
        <f aca="false">P16</f>
        <v>36.6143375162351</v>
      </c>
      <c r="Q27" s="48" t="n">
        <f aca="false">Q16</f>
        <v>37.159891145227</v>
      </c>
      <c r="R27" s="48" t="n">
        <f aca="false">R16</f>
        <v>37.7135735232909</v>
      </c>
    </row>
    <row r="28" customFormat="false" ht="15" hidden="false" customHeight="true" outlineLevel="0" collapsed="false">
      <c r="A28" s="37" t="s">
        <v>72</v>
      </c>
      <c r="D28" s="48" t="n">
        <f aca="false">D16*workex/365</f>
        <v>2.52</v>
      </c>
      <c r="E28" s="48" t="n">
        <f aca="false">E16*workex/365</f>
        <v>2.557548</v>
      </c>
      <c r="F28" s="48" t="n">
        <f aca="false">F16*workex/365</f>
        <v>2.5956554652</v>
      </c>
      <c r="G28" s="48" t="n">
        <f aca="false">G16*workex/365</f>
        <v>2.63433073163148</v>
      </c>
      <c r="H28" s="48" t="n">
        <f aca="false">H16*workex/365</f>
        <v>2.67358225953279</v>
      </c>
      <c r="I28" s="48" t="n">
        <f aca="false">I16*workex/365</f>
        <v>2.71341863519983</v>
      </c>
      <c r="J28" s="48" t="n">
        <f aca="false">J16*workex/365</f>
        <v>2.75384857286431</v>
      </c>
      <c r="K28" s="48" t="n">
        <f aca="false">K16*workex/365</f>
        <v>2.79488091659998</v>
      </c>
      <c r="L28" s="48" t="n">
        <f aca="false">L16*workex/365</f>
        <v>2.83652464225732</v>
      </c>
      <c r="M28" s="48" t="n">
        <f aca="false">M16*workex/365</f>
        <v>2.87878885942696</v>
      </c>
      <c r="N28" s="48" t="n">
        <f aca="false">N16*workex/365</f>
        <v>2.92168281343242</v>
      </c>
      <c r="O28" s="48" t="n">
        <f aca="false">O16*workex/365</f>
        <v>2.96521588735256</v>
      </c>
      <c r="P28" s="48" t="n">
        <f aca="false">P16*workex/365</f>
        <v>3.00939760407412</v>
      </c>
      <c r="Q28" s="48" t="n">
        <f aca="false">Q16*workex/365</f>
        <v>3.05423762837482</v>
      </c>
      <c r="R28" s="48" t="n">
        <f aca="false">R16*workex/365</f>
        <v>3.0997457690376</v>
      </c>
    </row>
    <row r="29" customFormat="false" ht="15" hidden="false" customHeight="true" outlineLevel="0" collapsed="false">
      <c r="A29" s="37" t="s">
        <v>73</v>
      </c>
      <c r="D29" s="48" t="n">
        <f aca="false">C28-D28</f>
        <v>-2.52</v>
      </c>
      <c r="E29" s="48" t="n">
        <f aca="false">D28-E28</f>
        <v>-0.0375480000000001</v>
      </c>
      <c r="F29" s="48" t="n">
        <f aca="false">E28-F28</f>
        <v>-0.0381074652000004</v>
      </c>
      <c r="G29" s="48" t="n">
        <f aca="false">F28-G28</f>
        <v>-0.0386752664314796</v>
      </c>
      <c r="H29" s="48" t="n">
        <f aca="false">G28-H28</f>
        <v>-0.039251527901309</v>
      </c>
      <c r="I29" s="48" t="n">
        <f aca="false">H28-I28</f>
        <v>-0.0398363756670386</v>
      </c>
      <c r="J29" s="48" t="n">
        <f aca="false">I28-J28</f>
        <v>-0.0404299376644772</v>
      </c>
      <c r="K29" s="48" t="n">
        <f aca="false">J28-K28</f>
        <v>-0.0410323437356781</v>
      </c>
      <c r="L29" s="48" t="n">
        <f aca="false">K28-L28</f>
        <v>-0.0416437256573401</v>
      </c>
      <c r="M29" s="48" t="n">
        <f aca="false">L28-M28</f>
        <v>-0.0422642171696346</v>
      </c>
      <c r="N29" s="48" t="n">
        <f aca="false">M28-N28</f>
        <v>-0.0428939540054607</v>
      </c>
      <c r="O29" s="48" t="n">
        <f aca="false">N28-O28</f>
        <v>-0.0435330739201438</v>
      </c>
      <c r="P29" s="48" t="n">
        <f aca="false">O28-P28</f>
        <v>-0.0441817167215528</v>
      </c>
      <c r="Q29" s="48" t="n">
        <f aca="false">P28-Q28</f>
        <v>-0.0448400243007039</v>
      </c>
      <c r="R29" s="48" t="n">
        <f aca="false">Q28-R28</f>
        <v>-0.0455081406627857</v>
      </c>
    </row>
    <row r="31" customFormat="false" ht="18" hidden="false" customHeight="true" outlineLevel="0" collapsed="false">
      <c r="A31" s="35" t="s">
        <v>74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customFormat="false" ht="15" hidden="false" customHeight="true" outlineLevel="0" collapsed="false">
      <c r="B32" s="41" t="s">
        <v>60</v>
      </c>
      <c r="C32" s="42" t="n">
        <v>1</v>
      </c>
      <c r="D32" s="42" t="n">
        <v>2</v>
      </c>
      <c r="E32" s="42" t="n">
        <v>3</v>
      </c>
      <c r="F32" s="42" t="n">
        <v>4</v>
      </c>
      <c r="G32" s="42" t="n">
        <v>5</v>
      </c>
      <c r="H32" s="42" t="n">
        <v>6</v>
      </c>
      <c r="I32" s="42" t="n">
        <v>7</v>
      </c>
      <c r="J32" s="42" t="n">
        <v>8</v>
      </c>
      <c r="K32" s="42" t="n">
        <v>9</v>
      </c>
      <c r="L32" s="42" t="n">
        <v>10</v>
      </c>
      <c r="M32" s="42" t="n">
        <v>11</v>
      </c>
      <c r="N32" s="42" t="n">
        <v>12</v>
      </c>
      <c r="O32" s="42" t="n">
        <v>13</v>
      </c>
      <c r="P32" s="42" t="n">
        <v>14</v>
      </c>
      <c r="Q32" s="42" t="n">
        <v>15</v>
      </c>
      <c r="R32" s="42" t="n">
        <v>16</v>
      </c>
    </row>
    <row r="33" customFormat="false" ht="15" hidden="false" customHeight="true" outlineLevel="0" collapsed="false">
      <c r="A33" s="37" t="s">
        <v>75</v>
      </c>
      <c r="C33" s="48" t="n">
        <v>0</v>
      </c>
      <c r="D33" s="48" t="n">
        <f aca="false">C37</f>
        <v>211.864406413751</v>
      </c>
      <c r="E33" s="48" t="n">
        <f aca="false">D37</f>
        <v>199.073445986168</v>
      </c>
      <c r="F33" s="48" t="n">
        <f aca="false">E37</f>
        <v>186.282485558584</v>
      </c>
      <c r="G33" s="48" t="n">
        <f aca="false">F37</f>
        <v>173.491525131001</v>
      </c>
      <c r="H33" s="48" t="n">
        <f aca="false">G37</f>
        <v>160.700564703417</v>
      </c>
      <c r="I33" s="48" t="n">
        <f aca="false">H37</f>
        <v>147.909604275834</v>
      </c>
      <c r="J33" s="48" t="n">
        <f aca="false">I37</f>
        <v>135.118643848251</v>
      </c>
      <c r="K33" s="48" t="n">
        <f aca="false">J37</f>
        <v>122.327683420667</v>
      </c>
      <c r="L33" s="48" t="n">
        <f aca="false">K37</f>
        <v>109.536722993084</v>
      </c>
      <c r="M33" s="48" t="n">
        <f aca="false">L37</f>
        <v>96.7457625655005</v>
      </c>
      <c r="N33" s="48" t="n">
        <f aca="false">M37</f>
        <v>83.9548021379171</v>
      </c>
      <c r="O33" s="48" t="n">
        <f aca="false">N37</f>
        <v>71.1638417103337</v>
      </c>
      <c r="P33" s="48" t="n">
        <f aca="false">O37</f>
        <v>58.3728812827503</v>
      </c>
      <c r="Q33" s="48" t="n">
        <f aca="false">P37</f>
        <v>45.5819208551669</v>
      </c>
      <c r="R33" s="48" t="n">
        <f aca="false">Q37</f>
        <v>32.7909604275835</v>
      </c>
    </row>
    <row r="34" customFormat="false" ht="15" hidden="false" customHeight="true" outlineLevel="0" collapsed="false">
      <c r="A34" s="37" t="s">
        <v>76</v>
      </c>
      <c r="C34" s="48" t="n">
        <f aca="false">Initial_capex</f>
        <v>200</v>
      </c>
      <c r="D34" s="48" t="n">
        <v>0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0</v>
      </c>
      <c r="R34" s="48" t="n">
        <v>0</v>
      </c>
    </row>
    <row r="35" customFormat="false" ht="15" hidden="false" customHeight="true" outlineLevel="0" collapsed="false">
      <c r="A35" s="37" t="s">
        <v>77</v>
      </c>
      <c r="C35" s="48" t="n">
        <f aca="false">IF(C13=0,C48,0)</f>
        <v>11.8644067591701</v>
      </c>
      <c r="D35" s="48" t="n">
        <v>0</v>
      </c>
      <c r="E35" s="48" t="n">
        <v>0</v>
      </c>
      <c r="F35" s="48" t="n">
        <v>0</v>
      </c>
      <c r="G35" s="48" t="n">
        <v>0</v>
      </c>
      <c r="H35" s="48" t="n">
        <v>0</v>
      </c>
      <c r="I35" s="48" t="n">
        <v>0</v>
      </c>
      <c r="J35" s="48" t="n">
        <v>0</v>
      </c>
      <c r="K35" s="48" t="n">
        <v>0</v>
      </c>
      <c r="L35" s="48" t="n">
        <v>0</v>
      </c>
      <c r="M35" s="48" t="n">
        <v>0</v>
      </c>
      <c r="N35" s="48" t="n">
        <v>0</v>
      </c>
      <c r="O35" s="48" t="n">
        <v>0</v>
      </c>
      <c r="P35" s="48" t="n">
        <v>0</v>
      </c>
      <c r="Q35" s="48" t="n">
        <v>0</v>
      </c>
      <c r="R35" s="48" t="n">
        <v>0</v>
      </c>
    </row>
    <row r="36" customFormat="false" ht="15" hidden="false" customHeight="true" outlineLevel="0" collapsed="false">
      <c r="A36" s="37" t="s">
        <v>78</v>
      </c>
      <c r="C36" s="48" t="n">
        <f aca="false">-IF(C13=0,0,($C$37-Initial_capex*Salvage)/Op_life)</f>
        <v>-0</v>
      </c>
      <c r="D36" s="48" t="n">
        <f aca="false">-IF(D13=0,0,($C$37-Initial_capex*Salvage)/Op_life)</f>
        <v>-12.7909604275834</v>
      </c>
      <c r="E36" s="48" t="n">
        <f aca="false">-IF(E13=0,0,($C$37-Initial_capex*Salvage)/Op_life)</f>
        <v>-12.7909604275834</v>
      </c>
      <c r="F36" s="48" t="n">
        <f aca="false">-IF(F13=0,0,($C$37-Initial_capex*Salvage)/Op_life)</f>
        <v>-12.7909604275834</v>
      </c>
      <c r="G36" s="48" t="n">
        <f aca="false">-IF(G13=0,0,($C$37-Initial_capex*Salvage)/Op_life)</f>
        <v>-12.7909604275834</v>
      </c>
      <c r="H36" s="48" t="n">
        <f aca="false">-IF(H13=0,0,($C$37-Initial_capex*Salvage)/Op_life)</f>
        <v>-12.7909604275834</v>
      </c>
      <c r="I36" s="48" t="n">
        <f aca="false">-IF(I13=0,0,($C$37-Initial_capex*Salvage)/Op_life)</f>
        <v>-12.7909604275834</v>
      </c>
      <c r="J36" s="48" t="n">
        <f aca="false">-IF(J13=0,0,($C$37-Initial_capex*Salvage)/Op_life)</f>
        <v>-12.7909604275834</v>
      </c>
      <c r="K36" s="48" t="n">
        <f aca="false">-IF(K13=0,0,($C$37-Initial_capex*Salvage)/Op_life)</f>
        <v>-12.7909604275834</v>
      </c>
      <c r="L36" s="48" t="n">
        <f aca="false">-IF(L13=0,0,($C$37-Initial_capex*Salvage)/Op_life)</f>
        <v>-12.7909604275834</v>
      </c>
      <c r="M36" s="48" t="n">
        <f aca="false">-IF(M13=0,0,($C$37-Initial_capex*Salvage)/Op_life)</f>
        <v>-12.7909604275834</v>
      </c>
      <c r="N36" s="48" t="n">
        <f aca="false">-IF(N13=0,0,($C$37-Initial_capex*Salvage)/Op_life)</f>
        <v>-12.7909604275834</v>
      </c>
      <c r="O36" s="48" t="n">
        <f aca="false">-IF(O13=0,0,($C$37-Initial_capex*Salvage)/Op_life)</f>
        <v>-12.7909604275834</v>
      </c>
      <c r="P36" s="48" t="n">
        <f aca="false">-IF(P13=0,0,($C$37-Initial_capex*Salvage)/Op_life)</f>
        <v>-12.7909604275834</v>
      </c>
      <c r="Q36" s="48" t="n">
        <f aca="false">-IF(Q13=0,0,($C$37-Initial_capex*Salvage)/Op_life)</f>
        <v>-12.7909604275834</v>
      </c>
      <c r="R36" s="48" t="n">
        <f aca="false">-IF(R13=0,0,($C$37-Initial_capex*Salvage)/Op_life)</f>
        <v>-12.7909604275834</v>
      </c>
    </row>
    <row r="37" customFormat="false" ht="15" hidden="false" customHeight="true" outlineLevel="0" collapsed="false">
      <c r="A37" s="37" t="s">
        <v>79</v>
      </c>
      <c r="C37" s="48" t="n">
        <f aca="false">SUM(C33:C36)</f>
        <v>211.86440675917</v>
      </c>
      <c r="D37" s="48" t="n">
        <f aca="false">SUM(D33:D36)</f>
        <v>199.073445986168</v>
      </c>
      <c r="E37" s="48" t="n">
        <f aca="false">SUM(E33:E36)</f>
        <v>186.282485558584</v>
      </c>
      <c r="F37" s="48" t="n">
        <f aca="false">SUM(F33:F36)</f>
        <v>173.491525131001</v>
      </c>
      <c r="G37" s="48" t="n">
        <f aca="false">SUM(G33:G36)</f>
        <v>160.700564703417</v>
      </c>
      <c r="H37" s="48" t="n">
        <f aca="false">SUM(H33:H36)</f>
        <v>147.909604275834</v>
      </c>
      <c r="I37" s="48" t="n">
        <f aca="false">SUM(I33:I36)</f>
        <v>135.118643848251</v>
      </c>
      <c r="J37" s="48" t="n">
        <f aca="false">SUM(J33:J36)</f>
        <v>122.327683420667</v>
      </c>
      <c r="K37" s="48" t="n">
        <f aca="false">SUM(K33:K36)</f>
        <v>109.536722993084</v>
      </c>
      <c r="L37" s="48" t="n">
        <f aca="false">SUM(L33:L36)</f>
        <v>96.7457625655005</v>
      </c>
      <c r="M37" s="48" t="n">
        <f aca="false">SUM(M33:M36)</f>
        <v>83.9548021379171</v>
      </c>
      <c r="N37" s="48" t="n">
        <f aca="false">SUM(N33:N36)</f>
        <v>71.1638417103337</v>
      </c>
      <c r="O37" s="48" t="n">
        <f aca="false">SUM(O33:O36)</f>
        <v>58.3728812827503</v>
      </c>
      <c r="P37" s="48" t="n">
        <f aca="false">SUM(P33:P36)</f>
        <v>45.5819208551669</v>
      </c>
      <c r="Q37" s="48" t="n">
        <f aca="false">SUM(Q33:Q36)</f>
        <v>32.7909604275835</v>
      </c>
      <c r="R37" s="48" t="n">
        <f aca="false">SUM(R33:R36)</f>
        <v>20.0000000000001</v>
      </c>
    </row>
    <row r="39" customFormat="false" ht="18" hidden="false" customHeight="true" outlineLevel="0" collapsed="false">
      <c r="A39" s="35" t="s">
        <v>80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customFormat="false" ht="15" hidden="false" customHeight="true" outlineLevel="0" collapsed="false">
      <c r="B40" s="41" t="s">
        <v>60</v>
      </c>
      <c r="C40" s="42" t="n">
        <v>1</v>
      </c>
      <c r="D40" s="42" t="n">
        <v>2</v>
      </c>
      <c r="E40" s="42" t="n">
        <v>3</v>
      </c>
      <c r="F40" s="42" t="n">
        <v>4</v>
      </c>
      <c r="G40" s="42" t="n">
        <v>5</v>
      </c>
      <c r="H40" s="42" t="n">
        <v>6</v>
      </c>
      <c r="I40" s="42" t="n">
        <v>7</v>
      </c>
      <c r="J40" s="42" t="n">
        <v>8</v>
      </c>
      <c r="K40" s="42" t="n">
        <v>9</v>
      </c>
      <c r="L40" s="42" t="n">
        <v>10</v>
      </c>
      <c r="M40" s="42" t="n">
        <v>11</v>
      </c>
      <c r="N40" s="42" t="n">
        <v>12</v>
      </c>
      <c r="O40" s="42" t="n">
        <v>13</v>
      </c>
      <c r="P40" s="42" t="n">
        <v>14</v>
      </c>
      <c r="Q40" s="42" t="n">
        <v>15</v>
      </c>
      <c r="R40" s="42" t="n">
        <v>16</v>
      </c>
    </row>
    <row r="41" customFormat="false" ht="15" hidden="false" customHeight="true" outlineLevel="0" collapsed="false">
      <c r="A41" s="37" t="s">
        <v>81</v>
      </c>
      <c r="B41" s="48" t="n">
        <f aca="false">C37</f>
        <v>211.86440675917</v>
      </c>
    </row>
    <row r="42" customFormat="false" ht="15" hidden="false" customHeight="true" outlineLevel="0" collapsed="false">
      <c r="A42" s="37" t="s">
        <v>82</v>
      </c>
      <c r="B42" s="48" t="n">
        <f aca="false">B41*0.7</f>
        <v>148.305084731419</v>
      </c>
    </row>
    <row r="43" customFormat="false" ht="15" hidden="false" customHeight="true" outlineLevel="0" collapsed="false">
      <c r="A43" s="37" t="s">
        <v>83</v>
      </c>
      <c r="B43" s="48" t="n">
        <f aca="false">B41-B42</f>
        <v>63.559322027751</v>
      </c>
    </row>
    <row r="44" customFormat="false" ht="15" hidden="false" customHeight="true" outlineLevel="0" collapsed="false">
      <c r="A44" s="37" t="s">
        <v>44</v>
      </c>
      <c r="B44" s="44" t="n">
        <f aca="false">tenure</f>
        <v>12</v>
      </c>
    </row>
    <row r="45" customFormat="false" ht="15" hidden="false" customHeight="true" outlineLevel="0" collapsed="false">
      <c r="A45" s="37" t="s">
        <v>84</v>
      </c>
      <c r="B45" s="49" t="n">
        <f aca="false">Debt_interest</f>
        <v>0.08</v>
      </c>
    </row>
    <row r="47" customFormat="false" ht="15" hidden="false" customHeight="true" outlineLevel="0" collapsed="false">
      <c r="A47" s="37" t="s">
        <v>85</v>
      </c>
      <c r="C47" s="48" t="n">
        <f aca="false">B51</f>
        <v>148.305084489626</v>
      </c>
      <c r="D47" s="48" t="n">
        <f aca="false">C51</f>
        <v>148.305080171889</v>
      </c>
      <c r="E47" s="48" t="n">
        <f aca="false">D51</f>
        <v>140.490141234723</v>
      </c>
      <c r="F47" s="48" t="n">
        <f aca="false">E51</f>
        <v>132.050007182584</v>
      </c>
      <c r="G47" s="48" t="n">
        <f aca="false">F51</f>
        <v>122.934662406274</v>
      </c>
      <c r="H47" s="48" t="n">
        <f aca="false">G51</f>
        <v>113.090090047859</v>
      </c>
      <c r="I47" s="48" t="n">
        <f aca="false">H51</f>
        <v>102.457951900771</v>
      </c>
      <c r="J47" s="48" t="n">
        <f aca="false">I51</f>
        <v>90.9752427019157</v>
      </c>
      <c r="K47" s="48" t="n">
        <f aca="false">J51</f>
        <v>78.5739167671522</v>
      </c>
      <c r="L47" s="48" t="n">
        <f aca="false">K51</f>
        <v>65.1804847576075</v>
      </c>
      <c r="M47" s="48" t="n">
        <f aca="false">L51</f>
        <v>50.7155781872993</v>
      </c>
      <c r="N47" s="48" t="n">
        <f aca="false">M51</f>
        <v>35.0934790913665</v>
      </c>
      <c r="O47" s="48" t="n">
        <f aca="false">N51</f>
        <v>18.2216120677589</v>
      </c>
      <c r="P47" s="48" t="n">
        <f aca="false">O51</f>
        <v>-4.31773715092731E-006</v>
      </c>
      <c r="Q47" s="48" t="n">
        <f aca="false">P51</f>
        <v>-4.31773715092731E-006</v>
      </c>
      <c r="R47" s="48" t="n">
        <f aca="false">Q51</f>
        <v>-4.31773715092731E-006</v>
      </c>
    </row>
    <row r="48" customFormat="false" ht="15" hidden="false" customHeight="true" outlineLevel="0" collapsed="false">
      <c r="A48" s="37" t="s">
        <v>86</v>
      </c>
      <c r="C48" s="48" t="n">
        <f aca="false">C47*$B$45</f>
        <v>11.8644067591701</v>
      </c>
      <c r="D48" s="48" t="n">
        <f aca="false">D47*$B$45</f>
        <v>11.8644064137511</v>
      </c>
      <c r="E48" s="48" t="n">
        <f aca="false">E47*$B$45</f>
        <v>11.2392112987778</v>
      </c>
      <c r="F48" s="48" t="n">
        <f aca="false">F47*$B$45</f>
        <v>10.5640005746067</v>
      </c>
      <c r="G48" s="48" t="n">
        <f aca="false">G47*$B$45</f>
        <v>9.83477299250191</v>
      </c>
      <c r="H48" s="48" t="n">
        <f aca="false">H47*$B$45</f>
        <v>9.04720720382872</v>
      </c>
      <c r="I48" s="48" t="n">
        <f aca="false">I47*$B$45</f>
        <v>8.19663615206167</v>
      </c>
      <c r="J48" s="48" t="n">
        <f aca="false">J47*$B$45</f>
        <v>7.27801941615326</v>
      </c>
      <c r="K48" s="48" t="n">
        <f aca="false">K47*$B$45</f>
        <v>6.28591334137217</v>
      </c>
      <c r="L48" s="48" t="n">
        <f aca="false">L47*$B$45</f>
        <v>5.2144387806086</v>
      </c>
      <c r="M48" s="48" t="n">
        <f aca="false">M47*$B$45</f>
        <v>4.05724625498394</v>
      </c>
      <c r="N48" s="48" t="n">
        <f aca="false">N47*$B$45</f>
        <v>2.80747832730932</v>
      </c>
      <c r="O48" s="48" t="n">
        <f aca="false">O47*$B$45</f>
        <v>1.45772896542072</v>
      </c>
      <c r="P48" s="48" t="n">
        <f aca="false">P47*$B$45</f>
        <v>-3.45418972074185E-007</v>
      </c>
      <c r="Q48" s="48" t="n">
        <f aca="false">Q47*$B$45</f>
        <v>-3.45418972074185E-007</v>
      </c>
      <c r="R48" s="48" t="n">
        <f aca="false">R47*$B$45</f>
        <v>-3.45418972074185E-007</v>
      </c>
    </row>
    <row r="49" customFormat="false" ht="15" hidden="false" customHeight="true" outlineLevel="0" collapsed="false">
      <c r="A49" s="37" t="s">
        <v>87</v>
      </c>
      <c r="D49" s="48" t="n">
        <f aca="false">IFERROR(-PPMT($B$45,C40,$B$44,$B$42),0)</f>
        <v>7.81493893716572</v>
      </c>
      <c r="E49" s="48" t="n">
        <f aca="false">IFERROR(-PPMT($B$45,D40,$B$44,$B$42),0)</f>
        <v>8.44013405213897</v>
      </c>
      <c r="F49" s="48" t="n">
        <f aca="false">IFERROR(-PPMT($B$45,E40,$B$44,$B$42),0)</f>
        <v>9.11534477631009</v>
      </c>
      <c r="G49" s="48" t="n">
        <f aca="false">IFERROR(-PPMT($B$45,F40,$B$44,$B$42),0)</f>
        <v>9.8445723584149</v>
      </c>
      <c r="H49" s="48" t="n">
        <f aca="false">IFERROR(-PPMT($B$45,G40,$B$44,$B$42),0)</f>
        <v>10.6321381470881</v>
      </c>
      <c r="I49" s="48" t="n">
        <f aca="false">IFERROR(-PPMT($B$45,H40,$B$44,$B$42),0)</f>
        <v>11.4827091988551</v>
      </c>
      <c r="J49" s="48" t="n">
        <f aca="false">IFERROR(-PPMT($B$45,I40,$B$44,$B$42),0)</f>
        <v>12.4013259347636</v>
      </c>
      <c r="K49" s="48" t="n">
        <f aca="false">IFERROR(-PPMT($B$45,J40,$B$44,$B$42),0)</f>
        <v>13.3934320095446</v>
      </c>
      <c r="L49" s="48" t="n">
        <f aca="false">IFERROR(-PPMT($B$45,K40,$B$44,$B$42),0)</f>
        <v>14.4649065703082</v>
      </c>
      <c r="M49" s="48" t="n">
        <f aca="false">IFERROR(-PPMT($B$45,L40,$B$44,$B$42),0)</f>
        <v>15.6220990959329</v>
      </c>
      <c r="N49" s="48" t="n">
        <f aca="false">IFERROR(-PPMT($B$45,M40,$B$44,$B$42),0)</f>
        <v>16.8718670236075</v>
      </c>
      <c r="O49" s="48" t="n">
        <f aca="false">IFERROR(-PPMT($B$45,N40,$B$44,$B$42),0)</f>
        <v>18.2216163854961</v>
      </c>
      <c r="P49" s="48" t="n">
        <f aca="false">IFERROR(-PPMT($B$45,O40,$B$44,$B$42),0)</f>
        <v>0</v>
      </c>
      <c r="Q49" s="48" t="n">
        <f aca="false">IFERROR(-PPMT($B$45,P40,$B$44,$B$42),0)</f>
        <v>0</v>
      </c>
      <c r="R49" s="48" t="n">
        <f aca="false">IFERROR(-PPMT($B$45,Q40,$B$44,$B$42),0)</f>
        <v>0</v>
      </c>
    </row>
    <row r="50" customFormat="false" ht="15" hidden="false" customHeight="true" outlineLevel="0" collapsed="false">
      <c r="A50" s="37" t="s">
        <v>88</v>
      </c>
      <c r="C50" s="48" t="n">
        <v>0</v>
      </c>
      <c r="D50" s="48" t="n">
        <f aca="false">IF(D40&gt;$B$44,0,-PMT($B$45,$B$44,$B$42))</f>
        <v>19.6793456963358</v>
      </c>
      <c r="E50" s="48" t="n">
        <f aca="false">IF(E40&gt;$B$44,0,-PMT($B$45,$B$44,$B$42))</f>
        <v>19.6793457284205</v>
      </c>
      <c r="F50" s="48" t="n">
        <f aca="false">IF(F40&gt;$B$44,0,-PMT($B$45,$B$44,$B$42))</f>
        <v>19.6793457284205</v>
      </c>
      <c r="G50" s="48" t="n">
        <f aca="false">IF(G40&gt;$B$44,0,-PMT($B$45,$B$44,$B$42))</f>
        <v>19.6793457284205</v>
      </c>
      <c r="H50" s="48" t="n">
        <f aca="false">IF(H40&gt;$B$44,0,-PMT($B$45,$B$44,$B$42))</f>
        <v>19.6793457284205</v>
      </c>
      <c r="I50" s="48" t="n">
        <f aca="false">IF(I40&gt;$B$44,0,-PMT($B$45,$B$44,$B$42))</f>
        <v>19.6793457284205</v>
      </c>
      <c r="J50" s="48" t="n">
        <f aca="false">IF(J40&gt;$B$44,0,-PMT($B$45,$B$44,$B$42))</f>
        <v>19.6793457284205</v>
      </c>
      <c r="K50" s="48" t="n">
        <f aca="false">IF(K40&gt;$B$44,0,-PMT($B$45,$B$44,$B$42))</f>
        <v>19.6793457284205</v>
      </c>
      <c r="L50" s="48" t="n">
        <f aca="false">IF(L40&gt;$B$44,0,-PMT($B$45,$B$44,$B$42))</f>
        <v>19.6793457284205</v>
      </c>
      <c r="M50" s="48" t="n">
        <f aca="false">IF(M40&gt;$B$44,0,-PMT($B$45,$B$44,$B$42))</f>
        <v>19.6793457284205</v>
      </c>
      <c r="N50" s="48" t="n">
        <f aca="false">IF(N40&gt;$B$44,0,-PMT($B$45,$B$44,$B$42))</f>
        <v>19.6793457284205</v>
      </c>
      <c r="O50" s="48" t="n">
        <f aca="false">IF(O40&gt;$B$44,0,-PMT($B$45,$B$44,$B$42))</f>
        <v>0</v>
      </c>
      <c r="P50" s="48" t="n">
        <f aca="false">IF(P40&gt;$B$44,0,-PMT($B$45,$B$44,$B$42))</f>
        <v>0</v>
      </c>
      <c r="Q50" s="48" t="n">
        <f aca="false">IF(Q40&gt;$B$44,0,-PMT($B$45,$B$44,$B$42))</f>
        <v>0</v>
      </c>
      <c r="R50" s="48" t="n">
        <f aca="false">IF(R40&gt;$B$44,0,-PMT($B$45,$B$44,$B$42))</f>
        <v>0</v>
      </c>
    </row>
    <row r="51" customFormat="false" ht="15" hidden="false" customHeight="true" outlineLevel="0" collapsed="false">
      <c r="A51" s="37" t="s">
        <v>89</v>
      </c>
      <c r="B51" s="48" t="n">
        <f aca="false">B42</f>
        <v>148.305084489626</v>
      </c>
      <c r="C51" s="48" t="n">
        <f aca="false">C47-$C$49</f>
        <v>148.305080171889</v>
      </c>
      <c r="D51" s="48" t="n">
        <f aca="false">D47-D49</f>
        <v>140.490141234723</v>
      </c>
      <c r="E51" s="48" t="n">
        <f aca="false">E47-E49</f>
        <v>132.050007182584</v>
      </c>
      <c r="F51" s="48" t="n">
        <f aca="false">F47-F49</f>
        <v>122.934662406274</v>
      </c>
      <c r="G51" s="48" t="n">
        <f aca="false">G47-G49</f>
        <v>113.090090047859</v>
      </c>
      <c r="H51" s="48" t="n">
        <f aca="false">H47-H49</f>
        <v>102.457951900771</v>
      </c>
      <c r="I51" s="48" t="n">
        <f aca="false">I47-I49</f>
        <v>90.9752427019157</v>
      </c>
      <c r="J51" s="48" t="n">
        <f aca="false">J47-J49</f>
        <v>78.5739167671522</v>
      </c>
      <c r="K51" s="48" t="n">
        <f aca="false">K47-K49</f>
        <v>65.1804847576075</v>
      </c>
      <c r="L51" s="48" t="n">
        <f aca="false">L47-L49</f>
        <v>50.7155781872993</v>
      </c>
      <c r="M51" s="48" t="n">
        <f aca="false">M47-M49</f>
        <v>35.0934790913665</v>
      </c>
      <c r="N51" s="48" t="n">
        <f aca="false">N47-N49</f>
        <v>18.2216120677589</v>
      </c>
      <c r="O51" s="48" t="n">
        <f aca="false">O47-O49</f>
        <v>-4.31773715092731E-006</v>
      </c>
      <c r="P51" s="48" t="n">
        <f aca="false">P47-P49</f>
        <v>-4.31773715092731E-006</v>
      </c>
      <c r="Q51" s="48" t="n">
        <f aca="false">Q47-Q49</f>
        <v>-4.31773715092731E-006</v>
      </c>
      <c r="R51" s="48" t="n">
        <f aca="false">R47-R49</f>
        <v>-4.31773715092731E-006</v>
      </c>
    </row>
    <row r="55" customFormat="false" ht="18" hidden="false" customHeight="true" outlineLevel="0" collapsed="false">
      <c r="A55" s="35" t="s">
        <v>90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</row>
    <row r="56" customFormat="false" ht="15" hidden="false" customHeight="true" outlineLevel="0" collapsed="false">
      <c r="B56" s="41" t="s">
        <v>60</v>
      </c>
      <c r="C56" s="42" t="n">
        <v>1</v>
      </c>
      <c r="D56" s="42" t="n">
        <v>2</v>
      </c>
      <c r="E56" s="42" t="n">
        <v>3</v>
      </c>
      <c r="F56" s="42" t="n">
        <v>4</v>
      </c>
      <c r="G56" s="42" t="n">
        <v>5</v>
      </c>
      <c r="H56" s="42" t="n">
        <v>6</v>
      </c>
      <c r="I56" s="42" t="n">
        <v>7</v>
      </c>
      <c r="J56" s="42" t="n">
        <v>8</v>
      </c>
      <c r="K56" s="42" t="n">
        <v>9</v>
      </c>
      <c r="L56" s="42" t="n">
        <v>10</v>
      </c>
      <c r="M56" s="42" t="n">
        <v>11</v>
      </c>
      <c r="N56" s="42" t="n">
        <v>12</v>
      </c>
      <c r="O56" s="42" t="n">
        <v>13</v>
      </c>
      <c r="P56" s="42" t="n">
        <v>14</v>
      </c>
      <c r="Q56" s="42" t="n">
        <v>15</v>
      </c>
      <c r="R56" s="42" t="n">
        <v>16</v>
      </c>
    </row>
    <row r="57" customFormat="false" ht="15" hidden="false" customHeight="true" outlineLevel="0" collapsed="false">
      <c r="A57" s="37" t="s">
        <v>91</v>
      </c>
      <c r="C57" s="43" t="n">
        <f aca="false">C13</f>
        <v>0</v>
      </c>
      <c r="D57" s="43" t="n">
        <f aca="false">D13</f>
        <v>1</v>
      </c>
      <c r="E57" s="43" t="n">
        <f aca="false">E13</f>
        <v>1</v>
      </c>
      <c r="F57" s="43" t="n">
        <f aca="false">F13</f>
        <v>1</v>
      </c>
      <c r="G57" s="43" t="n">
        <f aca="false">G13</f>
        <v>1</v>
      </c>
      <c r="H57" s="43" t="n">
        <f aca="false">H13</f>
        <v>1</v>
      </c>
      <c r="I57" s="43" t="n">
        <f aca="false">I13</f>
        <v>1</v>
      </c>
      <c r="J57" s="43" t="n">
        <f aca="false">J13</f>
        <v>1</v>
      </c>
      <c r="K57" s="43" t="n">
        <f aca="false">K13</f>
        <v>1</v>
      </c>
      <c r="L57" s="43" t="n">
        <f aca="false">L13</f>
        <v>1</v>
      </c>
      <c r="M57" s="43" t="n">
        <f aca="false">M13</f>
        <v>1</v>
      </c>
      <c r="N57" s="43" t="n">
        <f aca="false">N13</f>
        <v>1</v>
      </c>
      <c r="O57" s="43" t="n">
        <f aca="false">O13</f>
        <v>1</v>
      </c>
      <c r="P57" s="43" t="n">
        <f aca="false">P13</f>
        <v>1</v>
      </c>
      <c r="Q57" s="43" t="n">
        <f aca="false">Q13</f>
        <v>1</v>
      </c>
      <c r="R57" s="43" t="n">
        <f aca="false">R13</f>
        <v>1</v>
      </c>
    </row>
    <row r="58" customFormat="false" ht="15" hidden="false" customHeight="true" outlineLevel="0" collapsed="false">
      <c r="A58" s="37" t="s">
        <v>92</v>
      </c>
      <c r="C58" s="48" t="n">
        <f aca="false">C27</f>
        <v>0</v>
      </c>
      <c r="D58" s="48" t="n">
        <f aca="false">D27</f>
        <v>30.66</v>
      </c>
      <c r="E58" s="48" t="n">
        <f aca="false">E27</f>
        <v>31.116834</v>
      </c>
      <c r="F58" s="48" t="n">
        <f aca="false">F27</f>
        <v>31.5804748266</v>
      </c>
      <c r="G58" s="48" t="n">
        <f aca="false">G27</f>
        <v>32.0510239015163</v>
      </c>
      <c r="H58" s="48" t="n">
        <f aca="false">H27</f>
        <v>32.5285841576489</v>
      </c>
      <c r="I58" s="48" t="n">
        <f aca="false">I27</f>
        <v>33.0132600615979</v>
      </c>
      <c r="J58" s="48" t="n">
        <f aca="false">J27</f>
        <v>33.5051576365157</v>
      </c>
      <c r="K58" s="48" t="n">
        <f aca="false">K27</f>
        <v>34.0043844852998</v>
      </c>
      <c r="L58" s="48" t="n">
        <f aca="false">L27</f>
        <v>34.5110498141308</v>
      </c>
      <c r="M58" s="48" t="n">
        <f aca="false">M27</f>
        <v>35.0252644563613</v>
      </c>
      <c r="N58" s="48" t="n">
        <f aca="false">N27</f>
        <v>35.5471408967611</v>
      </c>
      <c r="O58" s="48" t="n">
        <f aca="false">O27</f>
        <v>36.0767932961228</v>
      </c>
      <c r="P58" s="48" t="n">
        <f aca="false">P27</f>
        <v>36.6143375162351</v>
      </c>
      <c r="Q58" s="48" t="n">
        <f aca="false">Q27</f>
        <v>37.159891145227</v>
      </c>
      <c r="R58" s="48" t="n">
        <f aca="false">R27</f>
        <v>37.7135735232909</v>
      </c>
    </row>
    <row r="59" customFormat="false" ht="15" hidden="false" customHeight="true" outlineLevel="0" collapsed="false">
      <c r="A59" s="37" t="s">
        <v>93</v>
      </c>
      <c r="C59" s="48" t="n">
        <f aca="false">-C23</f>
        <v>-0</v>
      </c>
      <c r="D59" s="48" t="n">
        <f aca="false">-D23</f>
        <v>-0.5438</v>
      </c>
      <c r="E59" s="48" t="n">
        <f aca="false">-E23</f>
        <v>-0.55988843</v>
      </c>
      <c r="F59" s="48" t="n">
        <f aca="false">-F23</f>
        <v>-0.5764539074855</v>
      </c>
      <c r="G59" s="48" t="n">
        <f aca="false">-G23</f>
        <v>-0.593510604586515</v>
      </c>
      <c r="H59" s="48" t="n">
        <f aca="false">-H23</f>
        <v>-0.61107311513549</v>
      </c>
      <c r="I59" s="48" t="n">
        <f aca="false">-I23</f>
        <v>-0.629156467232357</v>
      </c>
      <c r="J59" s="48" t="n">
        <f aca="false">-J23</f>
        <v>-0.647776136184403</v>
      </c>
      <c r="K59" s="48" t="n">
        <f aca="false">-K23</f>
        <v>-0.666948057832148</v>
      </c>
      <c r="L59" s="48" t="n">
        <f aca="false">-L23</f>
        <v>-0.686688642272746</v>
      </c>
      <c r="M59" s="48" t="n">
        <f aca="false">-M23</f>
        <v>-0.707014787992797</v>
      </c>
      <c r="N59" s="48" t="n">
        <f aca="false">-N23</f>
        <v>-0.727943896422778</v>
      </c>
      <c r="O59" s="48" t="n">
        <f aca="false">-O23</f>
        <v>-0.749493886925695</v>
      </c>
      <c r="P59" s="48" t="n">
        <f aca="false">-P23</f>
        <v>-0.771683212232914</v>
      </c>
      <c r="Q59" s="48" t="n">
        <f aca="false">-Q23</f>
        <v>-0.794530874340531</v>
      </c>
      <c r="R59" s="48" t="n">
        <f aca="false">-R23</f>
        <v>-0.818056440880031</v>
      </c>
    </row>
    <row r="60" customFormat="false" ht="15" hidden="false" customHeight="true" outlineLevel="0" collapsed="false">
      <c r="A60" s="46" t="s">
        <v>94</v>
      </c>
      <c r="B60" s="50"/>
      <c r="C60" s="51" t="n">
        <f aca="false">SUM(C58:C59)</f>
        <v>0</v>
      </c>
      <c r="D60" s="51" t="n">
        <f aca="false">SUM(D58:D59)</f>
        <v>30.1162</v>
      </c>
      <c r="E60" s="51" t="n">
        <f aca="false">SUM(E58:E59)</f>
        <v>30.55694557</v>
      </c>
      <c r="F60" s="51" t="n">
        <f aca="false">SUM(F58:F59)</f>
        <v>31.0040209191145</v>
      </c>
      <c r="G60" s="51" t="n">
        <f aca="false">SUM(G58:G59)</f>
        <v>31.4575132969298</v>
      </c>
      <c r="H60" s="51" t="n">
        <f aca="false">SUM(H58:H59)</f>
        <v>31.9175110425134</v>
      </c>
      <c r="I60" s="51" t="n">
        <f aca="false">SUM(I58:I59)</f>
        <v>32.3841035943656</v>
      </c>
      <c r="J60" s="51" t="n">
        <f aca="false">SUM(J58:J59)</f>
        <v>32.8573815003313</v>
      </c>
      <c r="K60" s="51" t="n">
        <f aca="false">SUM(K58:K59)</f>
        <v>33.3374364274676</v>
      </c>
      <c r="L60" s="51" t="n">
        <f aca="false">SUM(L58:L59)</f>
        <v>33.824361171858</v>
      </c>
      <c r="M60" s="51" t="n">
        <f aca="false">SUM(M58:M59)</f>
        <v>34.3182496683685</v>
      </c>
      <c r="N60" s="51" t="n">
        <f aca="false">SUM(N58:N59)</f>
        <v>34.8191970003383</v>
      </c>
      <c r="O60" s="51" t="n">
        <f aca="false">SUM(O58:O59)</f>
        <v>35.3272994091971</v>
      </c>
      <c r="P60" s="51" t="n">
        <f aca="false">SUM(P58:P59)</f>
        <v>35.8426543040022</v>
      </c>
      <c r="Q60" s="51" t="n">
        <f aca="false">SUM(Q58:Q59)</f>
        <v>36.3653602708864</v>
      </c>
      <c r="R60" s="51" t="n">
        <f aca="false">SUM(R58:R59)</f>
        <v>36.8955170824108</v>
      </c>
    </row>
    <row r="61" customFormat="false" ht="15" hidden="false" customHeight="true" outlineLevel="0" collapsed="false">
      <c r="A61" s="37" t="s">
        <v>78</v>
      </c>
      <c r="C61" s="48" t="n">
        <f aca="false">C36</f>
        <v>-0</v>
      </c>
      <c r="D61" s="48" t="n">
        <f aca="false">D36</f>
        <v>-12.7909604275834</v>
      </c>
      <c r="E61" s="48" t="n">
        <f aca="false">E36</f>
        <v>-12.7909604275834</v>
      </c>
      <c r="F61" s="48" t="n">
        <f aca="false">F36</f>
        <v>-12.7909604275834</v>
      </c>
      <c r="G61" s="48" t="n">
        <f aca="false">G36</f>
        <v>-12.7909604275834</v>
      </c>
      <c r="H61" s="48" t="n">
        <f aca="false">H36</f>
        <v>-12.7909604275834</v>
      </c>
      <c r="I61" s="48" t="n">
        <f aca="false">I36</f>
        <v>-12.7909604275834</v>
      </c>
      <c r="J61" s="48" t="n">
        <f aca="false">J36</f>
        <v>-12.7909604275834</v>
      </c>
      <c r="K61" s="48" t="n">
        <f aca="false">K36</f>
        <v>-12.7909604275834</v>
      </c>
      <c r="L61" s="48" t="n">
        <f aca="false">L36</f>
        <v>-12.7909604275834</v>
      </c>
      <c r="M61" s="48" t="n">
        <f aca="false">M36</f>
        <v>-12.7909604275834</v>
      </c>
      <c r="N61" s="48" t="n">
        <f aca="false">N36</f>
        <v>-12.7909604275834</v>
      </c>
      <c r="O61" s="48" t="n">
        <f aca="false">O36</f>
        <v>-12.7909604275834</v>
      </c>
      <c r="P61" s="48" t="n">
        <f aca="false">P36</f>
        <v>-12.7909604275834</v>
      </c>
      <c r="Q61" s="48" t="n">
        <f aca="false">Q36</f>
        <v>-12.7909604275834</v>
      </c>
      <c r="R61" s="48" t="n">
        <f aca="false">R36</f>
        <v>-12.7909604275834</v>
      </c>
    </row>
    <row r="62" customFormat="false" ht="15" hidden="false" customHeight="true" outlineLevel="0" collapsed="false">
      <c r="A62" s="37" t="s">
        <v>86</v>
      </c>
      <c r="C62" s="48" t="n">
        <f aca="false">-C48*C57</f>
        <v>-0</v>
      </c>
      <c r="D62" s="48" t="n">
        <f aca="false">-D48*D57</f>
        <v>-11.8644064137511</v>
      </c>
      <c r="E62" s="48" t="n">
        <f aca="false">-E48*E57</f>
        <v>-11.2392112987778</v>
      </c>
      <c r="F62" s="48" t="n">
        <f aca="false">-F48*F57</f>
        <v>-10.5640005746067</v>
      </c>
      <c r="G62" s="48" t="n">
        <f aca="false">-G48*G57</f>
        <v>-9.83477299250191</v>
      </c>
      <c r="H62" s="48" t="n">
        <f aca="false">-H48*H57</f>
        <v>-9.04720720382872</v>
      </c>
      <c r="I62" s="48" t="n">
        <f aca="false">-I48*I57</f>
        <v>-8.19663615206167</v>
      </c>
      <c r="J62" s="48" t="n">
        <f aca="false">-J48*J57</f>
        <v>-7.27801941615326</v>
      </c>
      <c r="K62" s="48" t="n">
        <f aca="false">-K48*K57</f>
        <v>-6.28591334137217</v>
      </c>
      <c r="L62" s="48" t="n">
        <f aca="false">-L48*L57</f>
        <v>-5.2144387806086</v>
      </c>
      <c r="M62" s="48" t="n">
        <f aca="false">-M48*M57</f>
        <v>-4.05724625498394</v>
      </c>
      <c r="N62" s="48" t="n">
        <f aca="false">-N48*N57</f>
        <v>-2.80747832730932</v>
      </c>
      <c r="O62" s="48" t="n">
        <f aca="false">-O48*O57</f>
        <v>-1.45772896542072</v>
      </c>
      <c r="P62" s="48" t="n">
        <f aca="false">-P48*P57</f>
        <v>3.45418972074185E-007</v>
      </c>
      <c r="Q62" s="48" t="n">
        <f aca="false">-Q48*Q57</f>
        <v>3.45418972074185E-007</v>
      </c>
      <c r="R62" s="48" t="n">
        <f aca="false">-R48*R57</f>
        <v>3.45418972074185E-007</v>
      </c>
    </row>
    <row r="63" customFormat="false" ht="15" hidden="false" customHeight="true" outlineLevel="0" collapsed="false">
      <c r="A63" s="46" t="s">
        <v>95</v>
      </c>
      <c r="C63" s="47" t="n">
        <f aca="false">SUM(C60:C62)</f>
        <v>0</v>
      </c>
      <c r="D63" s="47" t="n">
        <f aca="false">SUM(D60:D62)</f>
        <v>5.4608331586655</v>
      </c>
      <c r="E63" s="47" t="n">
        <f aca="false">SUM(E60:E62)</f>
        <v>6.52677384363877</v>
      </c>
      <c r="F63" s="47" t="n">
        <f aca="false">SUM(F60:F62)</f>
        <v>7.64905991692438</v>
      </c>
      <c r="G63" s="47" t="n">
        <f aca="false">SUM(G60:G62)</f>
        <v>8.83177987684452</v>
      </c>
      <c r="H63" s="47" t="n">
        <f aca="false">SUM(H60:H62)</f>
        <v>10.0793434111013</v>
      </c>
      <c r="I63" s="47" t="n">
        <f aca="false">SUM(I60:I62)</f>
        <v>11.3965070147205</v>
      </c>
      <c r="J63" s="47" t="n">
        <f aca="false">SUM(J60:J62)</f>
        <v>12.7884016565946</v>
      </c>
      <c r="K63" s="47" t="n">
        <f aca="false">SUM(K60:K62)</f>
        <v>14.2605626585121</v>
      </c>
      <c r="L63" s="47" t="n">
        <f aca="false">SUM(L60:L62)</f>
        <v>15.818961963666</v>
      </c>
      <c r="M63" s="47" t="n">
        <f aca="false">SUM(M60:M62)</f>
        <v>17.4700429858012</v>
      </c>
      <c r="N63" s="47" t="n">
        <f aca="false">SUM(N60:N62)</f>
        <v>19.2207582454456</v>
      </c>
      <c r="O63" s="47" t="n">
        <f aca="false">SUM(O60:O62)</f>
        <v>21.078610016193</v>
      </c>
      <c r="P63" s="47" t="n">
        <f aca="false">SUM(P60:P62)</f>
        <v>23.0516942218377</v>
      </c>
      <c r="Q63" s="47" t="n">
        <f aca="false">SUM(Q60:Q62)</f>
        <v>23.574400188722</v>
      </c>
      <c r="R63" s="47" t="n">
        <f aca="false">SUM(R60:R62)</f>
        <v>24.1045570002464</v>
      </c>
    </row>
    <row r="64" customFormat="false" ht="15" hidden="false" customHeight="true" outlineLevel="0" collapsed="false">
      <c r="A64" s="37" t="s">
        <v>96</v>
      </c>
      <c r="C64" s="48" t="n">
        <f aca="false">IF(C63&gt;0, -C63*Tax_rate,0)</f>
        <v>0</v>
      </c>
      <c r="D64" s="48" t="n">
        <f aca="false">IF(D63&gt;0, -D63*Tax_rate,0)</f>
        <v>-1.36520828966638</v>
      </c>
      <c r="E64" s="48" t="n">
        <f aca="false">IF(E63&gt;0, -E63*Tax_rate,0)</f>
        <v>-1.63169346090969</v>
      </c>
      <c r="F64" s="48" t="n">
        <f aca="false">IF(F63&gt;0, -F63*Tax_rate,0)</f>
        <v>-1.9122649792311</v>
      </c>
      <c r="G64" s="48" t="n">
        <f aca="false">IF(G63&gt;0, -G63*Tax_rate,0)</f>
        <v>-2.20794496921113</v>
      </c>
      <c r="H64" s="48" t="n">
        <f aca="false">IF(H63&gt;0, -H63*Tax_rate,0)</f>
        <v>-2.51983585277533</v>
      </c>
      <c r="I64" s="48" t="n">
        <f aca="false">IF(I63&gt;0, -I63*Tax_rate,0)</f>
        <v>-2.84912675368012</v>
      </c>
      <c r="J64" s="48" t="n">
        <f aca="false">IF(J63&gt;0, -J63*Tax_rate,0)</f>
        <v>-3.19710041414866</v>
      </c>
      <c r="K64" s="48" t="n">
        <f aca="false">IF(K63&gt;0, -K63*Tax_rate,0)</f>
        <v>-3.56514066462802</v>
      </c>
      <c r="L64" s="48" t="n">
        <f aca="false">IF(L63&gt;0, -L63*Tax_rate,0)</f>
        <v>-3.9547404909165</v>
      </c>
      <c r="M64" s="48" t="n">
        <f aca="false">IF(M63&gt;0, -M63*Tax_rate,0)</f>
        <v>-4.36751074645029</v>
      </c>
      <c r="N64" s="48" t="n">
        <f aca="false">IF(N63&gt;0, -N63*Tax_rate,0)</f>
        <v>-4.8051895613614</v>
      </c>
      <c r="O64" s="48" t="n">
        <f aca="false">IF(O63&gt;0, -O63*Tax_rate,0)</f>
        <v>-5.26965250404825</v>
      </c>
      <c r="P64" s="48" t="n">
        <f aca="false">IF(P63&gt;0, -P63*Tax_rate,0)</f>
        <v>-5.76292355545943</v>
      </c>
      <c r="Q64" s="48" t="n">
        <f aca="false">IF(Q63&gt;0, -Q63*Tax_rate,0)</f>
        <v>-5.8936000471805</v>
      </c>
      <c r="R64" s="48" t="n">
        <f aca="false">IF(R63&gt;0, -R63*Tax_rate,0)</f>
        <v>-6.0261392500616</v>
      </c>
    </row>
    <row r="65" customFormat="false" ht="15" hidden="false" customHeight="true" outlineLevel="0" collapsed="false">
      <c r="A65" s="46" t="s">
        <v>97</v>
      </c>
      <c r="C65" s="47" t="n">
        <f aca="false">SUM(C63:C64)</f>
        <v>0</v>
      </c>
      <c r="D65" s="47" t="n">
        <f aca="false">SUM(D63:D64)</f>
        <v>4.09562486899913</v>
      </c>
      <c r="E65" s="47" t="n">
        <f aca="false">SUM(E63:E64)</f>
        <v>4.89508038272907</v>
      </c>
      <c r="F65" s="47" t="n">
        <f aca="false">SUM(F63:F64)</f>
        <v>5.73679493769329</v>
      </c>
      <c r="G65" s="47" t="n">
        <f aca="false">SUM(G63:G64)</f>
        <v>6.62383490763339</v>
      </c>
      <c r="H65" s="47" t="n">
        <f aca="false">SUM(H63:H64)</f>
        <v>7.55950755832599</v>
      </c>
      <c r="I65" s="47" t="n">
        <f aca="false">SUM(I63:I64)</f>
        <v>8.54738026104036</v>
      </c>
      <c r="J65" s="47" t="n">
        <f aca="false">SUM(J63:J64)</f>
        <v>9.59130124244598</v>
      </c>
      <c r="K65" s="47" t="n">
        <f aca="false">SUM(K63:K64)</f>
        <v>10.695421993884</v>
      </c>
      <c r="L65" s="47" t="n">
        <f aca="false">SUM(L63:L64)</f>
        <v>11.8642214727495</v>
      </c>
      <c r="M65" s="47" t="n">
        <f aca="false">SUM(M63:M64)</f>
        <v>13.1025322393509</v>
      </c>
      <c r="N65" s="47" t="n">
        <f aca="false">SUM(N63:N64)</f>
        <v>14.4155686840842</v>
      </c>
      <c r="O65" s="47" t="n">
        <f aca="false">SUM(O63:O64)</f>
        <v>15.8089575121448</v>
      </c>
      <c r="P65" s="47" t="n">
        <f aca="false">SUM(P63:P64)</f>
        <v>17.2887706663783</v>
      </c>
      <c r="Q65" s="47" t="n">
        <f aca="false">SUM(Q63:Q64)</f>
        <v>17.6808001415415</v>
      </c>
      <c r="R65" s="47" t="n">
        <f aca="false">SUM(R63:R64)</f>
        <v>18.0784177501848</v>
      </c>
    </row>
    <row r="66" customFormat="false" ht="15" hidden="false" customHeight="true" outlineLevel="0" collapsed="false">
      <c r="A66" s="37" t="s">
        <v>98</v>
      </c>
      <c r="C66" s="48" t="n">
        <f aca="false">-C61</f>
        <v>0</v>
      </c>
      <c r="D66" s="48" t="n">
        <f aca="false">-D61</f>
        <v>12.7909604275834</v>
      </c>
      <c r="E66" s="48" t="n">
        <f aca="false">-E61</f>
        <v>12.7909604275834</v>
      </c>
      <c r="F66" s="48" t="n">
        <f aca="false">-F61</f>
        <v>12.7909604275834</v>
      </c>
      <c r="G66" s="48" t="n">
        <f aca="false">-G61</f>
        <v>12.7909604275834</v>
      </c>
      <c r="H66" s="48" t="n">
        <f aca="false">-H61</f>
        <v>12.7909604275834</v>
      </c>
      <c r="I66" s="48" t="n">
        <f aca="false">-I61</f>
        <v>12.7909604275834</v>
      </c>
      <c r="J66" s="48" t="n">
        <f aca="false">-J61</f>
        <v>12.7909604275834</v>
      </c>
      <c r="K66" s="48" t="n">
        <f aca="false">-K61</f>
        <v>12.7909604275834</v>
      </c>
      <c r="L66" s="48" t="n">
        <f aca="false">-L61</f>
        <v>12.7909604275834</v>
      </c>
      <c r="M66" s="48" t="n">
        <f aca="false">-M61</f>
        <v>12.7909604275834</v>
      </c>
      <c r="N66" s="48" t="n">
        <f aca="false">-N61</f>
        <v>12.7909604275834</v>
      </c>
      <c r="O66" s="48" t="n">
        <f aca="false">-O61</f>
        <v>12.7909604275834</v>
      </c>
      <c r="P66" s="48" t="n">
        <f aca="false">-P61</f>
        <v>12.7909604275834</v>
      </c>
      <c r="Q66" s="48" t="n">
        <f aca="false">-Q61</f>
        <v>12.7909604275834</v>
      </c>
      <c r="R66" s="48" t="n">
        <f aca="false">-R61</f>
        <v>12.7909604275834</v>
      </c>
    </row>
    <row r="67" customFormat="false" ht="15" hidden="false" customHeight="true" outlineLevel="0" collapsed="false">
      <c r="A67" s="37" t="s">
        <v>99</v>
      </c>
      <c r="C67" s="48" t="n">
        <f aca="false">-C49</f>
        <v>-0</v>
      </c>
      <c r="D67" s="48" t="n">
        <f aca="false">-D49</f>
        <v>-7.81493893716572</v>
      </c>
      <c r="E67" s="48" t="n">
        <f aca="false">-E49</f>
        <v>-8.44013405213897</v>
      </c>
      <c r="F67" s="48" t="n">
        <f aca="false">-F49</f>
        <v>-9.11534477631009</v>
      </c>
      <c r="G67" s="48" t="n">
        <f aca="false">-G49</f>
        <v>-9.8445723584149</v>
      </c>
      <c r="H67" s="48" t="n">
        <f aca="false">-H49</f>
        <v>-10.6321381470881</v>
      </c>
      <c r="I67" s="48" t="n">
        <f aca="false">-I49</f>
        <v>-11.4827091988551</v>
      </c>
      <c r="J67" s="48" t="n">
        <f aca="false">-J49</f>
        <v>-12.4013259347636</v>
      </c>
      <c r="K67" s="48" t="n">
        <f aca="false">-K49</f>
        <v>-13.3934320095446</v>
      </c>
      <c r="L67" s="48" t="n">
        <f aca="false">-L49</f>
        <v>-14.4649065703082</v>
      </c>
      <c r="M67" s="48" t="n">
        <f aca="false">-M49</f>
        <v>-15.6220990959329</v>
      </c>
      <c r="N67" s="48" t="n">
        <f aca="false">-N49</f>
        <v>-16.8718670236075</v>
      </c>
      <c r="O67" s="48" t="n">
        <f aca="false">-O49</f>
        <v>-18.2216163854961</v>
      </c>
      <c r="P67" s="48" t="n">
        <f aca="false">-P49</f>
        <v>-0</v>
      </c>
      <c r="Q67" s="48" t="n">
        <f aca="false">-Q49</f>
        <v>-0</v>
      </c>
      <c r="R67" s="48" t="n">
        <f aca="false">-R49</f>
        <v>-0</v>
      </c>
    </row>
    <row r="68" customFormat="false" ht="15" hidden="false" customHeight="true" outlineLevel="0" collapsed="false">
      <c r="A68" s="37" t="s">
        <v>100</v>
      </c>
      <c r="C68" s="48" t="n">
        <f aca="false">C29</f>
        <v>0</v>
      </c>
      <c r="D68" s="48" t="n">
        <f aca="false">D29</f>
        <v>-2.52</v>
      </c>
      <c r="E68" s="48" t="n">
        <f aca="false">E29</f>
        <v>-0.0375480000000001</v>
      </c>
      <c r="F68" s="48" t="n">
        <f aca="false">F29</f>
        <v>-0.0381074652000004</v>
      </c>
      <c r="G68" s="48" t="n">
        <f aca="false">G29</f>
        <v>-0.0386752664314796</v>
      </c>
      <c r="H68" s="48" t="n">
        <f aca="false">H29</f>
        <v>-0.039251527901309</v>
      </c>
      <c r="I68" s="48" t="n">
        <f aca="false">I29</f>
        <v>-0.0398363756670386</v>
      </c>
      <c r="J68" s="48" t="n">
        <f aca="false">J29</f>
        <v>-0.0404299376644772</v>
      </c>
      <c r="K68" s="48" t="n">
        <f aca="false">K29</f>
        <v>-0.0410323437356781</v>
      </c>
      <c r="L68" s="48" t="n">
        <f aca="false">L29</f>
        <v>-0.0416437256573401</v>
      </c>
      <c r="M68" s="48" t="n">
        <f aca="false">M29</f>
        <v>-0.0422642171696346</v>
      </c>
      <c r="N68" s="48" t="n">
        <f aca="false">N29</f>
        <v>-0.0428939540054607</v>
      </c>
      <c r="O68" s="48" t="n">
        <f aca="false">O29</f>
        <v>-0.0435330739201438</v>
      </c>
      <c r="P68" s="48" t="n">
        <f aca="false">P29</f>
        <v>-0.0441817167215528</v>
      </c>
      <c r="Q68" s="48" t="n">
        <f aca="false">Q29</f>
        <v>-0.0448400243007039</v>
      </c>
      <c r="R68" s="48" t="n">
        <f aca="false">R29-SUM(C29:R29)</f>
        <v>3.05423762837482</v>
      </c>
    </row>
    <row r="69" customFormat="false" ht="15" hidden="false" customHeight="true" outlineLevel="0" collapsed="false">
      <c r="A69" s="37" t="s">
        <v>101</v>
      </c>
      <c r="C69" s="48" t="n">
        <v>0</v>
      </c>
      <c r="D69" s="48" t="n">
        <v>0</v>
      </c>
      <c r="E69" s="48" t="n">
        <v>0</v>
      </c>
      <c r="F69" s="48" t="n">
        <v>0</v>
      </c>
      <c r="G69" s="48" t="n">
        <v>0</v>
      </c>
      <c r="H69" s="48" t="n">
        <v>0</v>
      </c>
      <c r="I69" s="48" t="n">
        <v>0</v>
      </c>
      <c r="J69" s="48" t="n">
        <v>0</v>
      </c>
      <c r="K69" s="48" t="n">
        <v>0</v>
      </c>
      <c r="L69" s="48" t="n">
        <v>0</v>
      </c>
      <c r="M69" s="48" t="n">
        <v>0</v>
      </c>
      <c r="N69" s="48" t="n">
        <v>0</v>
      </c>
      <c r="O69" s="48" t="n">
        <v>0</v>
      </c>
      <c r="P69" s="48" t="n">
        <v>0</v>
      </c>
      <c r="Q69" s="48" t="n">
        <v>0</v>
      </c>
      <c r="R69" s="48" t="n">
        <f aca="false">R37</f>
        <v>20.0000000000001</v>
      </c>
    </row>
    <row r="70" customFormat="false" ht="15" hidden="false" customHeight="true" outlineLevel="0" collapsed="false">
      <c r="A70" s="37" t="s">
        <v>102</v>
      </c>
      <c r="B70" s="48" t="n">
        <f aca="false">-(D50*DSRA_req/12)</f>
        <v>-9.83967284816789</v>
      </c>
      <c r="C70" s="48" t="n">
        <f aca="false">IF(SUM(C65:C69)&lt;0, C72-SUM(C65:C69),0)</f>
        <v>0</v>
      </c>
      <c r="D70" s="48" t="n">
        <f aca="false">IF(SUM(D65:D69)&lt;0, D72-SUM(D65:D69),0)</f>
        <v>0</v>
      </c>
      <c r="E70" s="48" t="n">
        <f aca="false">IF(SUM(E65:E69)&lt;0, E72-SUM(E65:E69),0)</f>
        <v>0</v>
      </c>
      <c r="F70" s="48" t="n">
        <f aca="false">IF(SUM(F65:F69)&lt;0, F72-SUM(F65:F69),0)</f>
        <v>0</v>
      </c>
      <c r="G70" s="48" t="n">
        <f aca="false">IF(SUM(G65:G69)&lt;0, G72-SUM(G65:G69),0)</f>
        <v>0</v>
      </c>
      <c r="H70" s="48" t="n">
        <f aca="false">IF(SUM(H65:H69)&lt;0, H72-SUM(H65:H69),0)</f>
        <v>0</v>
      </c>
      <c r="I70" s="48" t="n">
        <f aca="false">IF(SUM(I65:I69)&lt;0, I72-SUM(I65:I69),0)</f>
        <v>0</v>
      </c>
      <c r="J70" s="48" t="n">
        <f aca="false">IF(SUM(J65:J69)&lt;0, J72-SUM(J65:J69),0)</f>
        <v>0</v>
      </c>
      <c r="K70" s="48" t="n">
        <f aca="false">IF(SUM(K65:K69)&lt;0, K72-SUM(K65:K69),0)</f>
        <v>0</v>
      </c>
      <c r="L70" s="48" t="n">
        <f aca="false">IF(SUM(L65:L69)&lt;0, L72-SUM(L65:L69),0)</f>
        <v>0</v>
      </c>
      <c r="M70" s="48" t="n">
        <f aca="false">IF(SUM(M65:M69)&lt;0, M72-SUM(M65:M69),0)</f>
        <v>0</v>
      </c>
      <c r="N70" s="48" t="n">
        <f aca="false">IF(SUM(N65:N69)&lt;0, N72-SUM(N65:N69),0)</f>
        <v>0</v>
      </c>
      <c r="O70" s="48" t="n">
        <f aca="false">IF(SUM(O65:O69)&lt;0, O72-SUM(O65:O69),0)</f>
        <v>0</v>
      </c>
      <c r="P70" s="48" t="n">
        <f aca="false">IF(SUM(P65:P69)&lt;0, P72-SUM(P65:P69),0)</f>
        <v>0</v>
      </c>
      <c r="Q70" s="48" t="n">
        <f aca="false">IF(SUM(Q65:Q69)&lt;0, Q72-SUM(Q65:Q69),0)</f>
        <v>0</v>
      </c>
      <c r="R70" s="48" t="n">
        <f aca="false">-SUM(B70:Q70)</f>
        <v>9.83967284816789</v>
      </c>
    </row>
    <row r="71" customFormat="false" ht="15" hidden="false" customHeight="true" outlineLevel="0" collapsed="false">
      <c r="A71" s="46" t="s">
        <v>103</v>
      </c>
      <c r="B71" s="51" t="n">
        <f aca="false">SUM(B70,-B43)</f>
        <v>-73.3989948759189</v>
      </c>
      <c r="C71" s="51" t="n">
        <f aca="false">SUM(C65:C70)</f>
        <v>0</v>
      </c>
      <c r="D71" s="51" t="n">
        <f aca="false">SUM(D65:D70)</f>
        <v>6.55164635941682</v>
      </c>
      <c r="E71" s="51" t="n">
        <f aca="false">SUM(E65:E70)</f>
        <v>9.20835875817351</v>
      </c>
      <c r="F71" s="51" t="n">
        <f aca="false">SUM(F65:F70)</f>
        <v>9.3743031237666</v>
      </c>
      <c r="G71" s="51" t="n">
        <f aca="false">SUM(G65:G70)</f>
        <v>9.53154771037042</v>
      </c>
      <c r="H71" s="51" t="n">
        <f aca="false">SUM(H65:H70)</f>
        <v>9.67907831092</v>
      </c>
      <c r="I71" s="51" t="n">
        <f aca="false">SUM(I65:I70)</f>
        <v>9.81579511410158</v>
      </c>
      <c r="J71" s="51" t="n">
        <f aca="false">SUM(J65:J70)</f>
        <v>9.94050579760136</v>
      </c>
      <c r="K71" s="51" t="n">
        <f aca="false">SUM(K65:K70)</f>
        <v>10.0519180681871</v>
      </c>
      <c r="L71" s="51" t="n">
        <f aca="false">SUM(L65:L70)</f>
        <v>10.1486316043674</v>
      </c>
      <c r="M71" s="51" t="n">
        <f aca="false">SUM(M65:M70)</f>
        <v>10.2291293538318</v>
      </c>
      <c r="N71" s="51" t="n">
        <f aca="false">SUM(N65:N70)</f>
        <v>10.2917681340546</v>
      </c>
      <c r="O71" s="51" t="n">
        <f aca="false">SUM(O65:O70)</f>
        <v>10.3347684803119</v>
      </c>
      <c r="P71" s="51" t="n">
        <f aca="false">SUM(P65:P70)</f>
        <v>30.0355493772401</v>
      </c>
      <c r="Q71" s="51" t="n">
        <f aca="false">SUM(Q65:Q70)</f>
        <v>30.4269205448242</v>
      </c>
      <c r="R71" s="51" t="n">
        <f aca="false">SUM(R65:R70)</f>
        <v>63.763288654311</v>
      </c>
    </row>
    <row r="72" customFormat="false" ht="15" hidden="false" customHeight="true" outlineLevel="0" collapsed="false">
      <c r="A72" s="37" t="s">
        <v>104</v>
      </c>
      <c r="C72" s="48" t="n">
        <f aca="false">C50</f>
        <v>0</v>
      </c>
      <c r="D72" s="48" t="n">
        <f aca="false">D50</f>
        <v>19.6793456963358</v>
      </c>
      <c r="E72" s="48" t="n">
        <f aca="false">E50</f>
        <v>19.6793457284205</v>
      </c>
      <c r="F72" s="48" t="n">
        <f aca="false">F50</f>
        <v>19.6793457284205</v>
      </c>
      <c r="G72" s="48" t="n">
        <f aca="false">G50</f>
        <v>19.6793457284205</v>
      </c>
      <c r="H72" s="48" t="n">
        <f aca="false">H50</f>
        <v>19.6793457284205</v>
      </c>
      <c r="I72" s="48" t="n">
        <f aca="false">I50</f>
        <v>19.6793457284205</v>
      </c>
      <c r="J72" s="48" t="n">
        <f aca="false">J50</f>
        <v>19.6793457284205</v>
      </c>
      <c r="K72" s="48" t="n">
        <f aca="false">K50</f>
        <v>19.6793457284205</v>
      </c>
      <c r="L72" s="48" t="n">
        <f aca="false">L50</f>
        <v>19.6793457284205</v>
      </c>
      <c r="M72" s="48" t="n">
        <f aca="false">M50</f>
        <v>19.6793457284205</v>
      </c>
      <c r="N72" s="48" t="n">
        <f aca="false">N50</f>
        <v>19.6793457284205</v>
      </c>
      <c r="O72" s="48" t="n">
        <f aca="false">O50</f>
        <v>0</v>
      </c>
      <c r="P72" s="48" t="n">
        <f aca="false">P50</f>
        <v>0</v>
      </c>
      <c r="Q72" s="48" t="n">
        <f aca="false">Q50</f>
        <v>0</v>
      </c>
      <c r="R72" s="48" t="n">
        <f aca="false">R50</f>
        <v>0</v>
      </c>
    </row>
    <row r="73" customFormat="false" ht="15" hidden="false" customHeight="true" outlineLevel="0" collapsed="false">
      <c r="A73" s="46" t="s">
        <v>105</v>
      </c>
      <c r="C73" s="52" t="str">
        <f aca="false">IFERROR(C60/C72, "")</f>
        <v/>
      </c>
      <c r="D73" s="52" t="n">
        <f aca="false">IFERROR(D60/D72, "")</f>
        <v>1.53034559505744</v>
      </c>
      <c r="E73" s="52" t="n">
        <f aca="false">IFERROR(E60/E72, "")</f>
        <v>1.55274194537221</v>
      </c>
      <c r="F73" s="52" t="n">
        <f aca="false">IFERROR(F60/F72, "")</f>
        <v>1.57545994399291</v>
      </c>
      <c r="G73" s="52" t="n">
        <f aca="false">IFERROR(G60/G72, "")</f>
        <v>1.59850402198583</v>
      </c>
      <c r="H73" s="52" t="n">
        <f aca="false">IFERROR(H60/H72, "")</f>
        <v>1.62187866827395</v>
      </c>
      <c r="I73" s="52" t="n">
        <f aca="false">IFERROR(I60/I72, "")</f>
        <v>1.64558842764762</v>
      </c>
      <c r="J73" s="52" t="n">
        <f aca="false">IFERROR(J60/J72, "")</f>
        <v>1.6696379012682</v>
      </c>
      <c r="K73" s="52" t="n">
        <f aca="false">IFERROR(K60/K72, "")</f>
        <v>1.69403174716944</v>
      </c>
      <c r="L73" s="52" t="n">
        <f aca="false">IFERROR(L60/L72, "")</f>
        <v>1.71877468075626</v>
      </c>
      <c r="M73" s="52" t="n">
        <f aca="false">IFERROR(M60/M72, "")</f>
        <v>1.74387147530046</v>
      </c>
      <c r="N73" s="52" t="n">
        <f aca="false">IFERROR(N60/N72, "")</f>
        <v>1.76932696243316</v>
      </c>
      <c r="O73" s="52" t="str">
        <f aca="false">IFERROR(O60/O72, "")</f>
        <v/>
      </c>
      <c r="P73" s="52" t="str">
        <f aca="false">IFERROR(P60/P72, "")</f>
        <v/>
      </c>
      <c r="Q73" s="52" t="str">
        <f aca="false">IFERROR(Q60/Q72, "")</f>
        <v/>
      </c>
      <c r="R73" s="52" t="str">
        <f aca="false">IFERROR(R60/R72, "")</f>
        <v/>
      </c>
    </row>
    <row r="74" customFormat="false" ht="15" hidden="false" customHeight="true" outlineLevel="0" collapsed="false">
      <c r="A74" s="53" t="s">
        <v>106</v>
      </c>
      <c r="B74" s="54" t="n">
        <f aca="false">IRR(B71:R71)</f>
        <v>0.120087061929708</v>
      </c>
    </row>
    <row r="75" customFormat="false" ht="15" hidden="false" customHeight="true" outlineLevel="0" collapsed="false">
      <c r="A75" s="53" t="s">
        <v>107</v>
      </c>
      <c r="B75" s="55" t="n">
        <f aca="false">NPV(Discount_rate,C71:R71)+B71</f>
        <v>13.4969218628615</v>
      </c>
    </row>
  </sheetData>
  <mergeCells count="2">
    <mergeCell ref="A1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13"/>
    <col collapsed="false" customWidth="true" hidden="false" outlineLevel="0" max="9" min="9" style="0" width="2.5"/>
  </cols>
  <sheetData>
    <row r="2" customFormat="false" ht="19.5" hidden="false" customHeight="true" outlineLevel="0" collapsed="false">
      <c r="B2" s="2" t="s">
        <v>108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B3" s="2"/>
      <c r="C3" s="2"/>
      <c r="D3" s="2"/>
      <c r="E3" s="2"/>
      <c r="F3" s="2"/>
      <c r="G3" s="2"/>
      <c r="H3" s="2"/>
    </row>
    <row r="4" customFormat="false" ht="13.5" hidden="false" customHeight="true" outlineLevel="0" collapsed="false">
      <c r="B4" s="2"/>
      <c r="C4" s="2"/>
      <c r="D4" s="2"/>
      <c r="E4" s="2"/>
      <c r="F4" s="2"/>
      <c r="G4" s="2"/>
      <c r="H4" s="2"/>
    </row>
    <row r="5" customFormat="false" ht="15.75" hidden="false" customHeight="true" outlineLevel="0" collapsed="false">
      <c r="B5" s="3" t="s">
        <v>109</v>
      </c>
      <c r="C5" s="3"/>
      <c r="D5" s="3"/>
      <c r="E5" s="3"/>
      <c r="F5" s="3"/>
      <c r="G5" s="3"/>
      <c r="H5" s="3"/>
    </row>
    <row r="7" customFormat="false" ht="18" hidden="false" customHeight="true" outlineLevel="0" collapsed="false">
      <c r="B7" s="9" t="s">
        <v>110</v>
      </c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B8" s="56"/>
      <c r="C8" s="57" t="s">
        <v>56</v>
      </c>
      <c r="D8" s="57"/>
      <c r="E8" s="57"/>
      <c r="F8" s="57"/>
      <c r="G8" s="57"/>
    </row>
    <row r="9" customFormat="false" ht="15" hidden="false" customHeight="false" outlineLevel="0" collapsed="false">
      <c r="B9" s="58" t="s">
        <v>111</v>
      </c>
      <c r="C9" s="59" t="n">
        <v>0.16</v>
      </c>
      <c r="D9" s="59" t="n">
        <v>0.18</v>
      </c>
      <c r="E9" s="59" t="n">
        <v>0.2</v>
      </c>
      <c r="F9" s="59" t="n">
        <v>0.22</v>
      </c>
      <c r="G9" s="59" t="n">
        <v>0.24</v>
      </c>
    </row>
    <row r="10" customFormat="false" ht="15" hidden="false" customHeight="false" outlineLevel="0" collapsed="false">
      <c r="B10" s="60" t="n">
        <v>3000</v>
      </c>
      <c r="C10" s="61" t="n">
        <v>0.0331758980097787</v>
      </c>
      <c r="D10" s="61" t="n">
        <v>0.0594596198310304</v>
      </c>
      <c r="E10" s="61" t="n">
        <v>0.0832844629927629</v>
      </c>
      <c r="F10" s="61" t="n">
        <v>0.105612748451631</v>
      </c>
      <c r="G10" s="61" t="n">
        <v>0.12709608773762</v>
      </c>
    </row>
    <row r="11" customFormat="false" ht="15" hidden="false" customHeight="false" outlineLevel="0" collapsed="false">
      <c r="B11" s="60" t="n">
        <v>3250</v>
      </c>
      <c r="C11" s="61" t="n">
        <v>0.0509755602461214</v>
      </c>
      <c r="D11" s="61" t="n">
        <v>0.0775909491367068</v>
      </c>
      <c r="E11" s="61" t="n">
        <v>0.101985014009239</v>
      </c>
      <c r="F11" s="61" t="n">
        <v>0.125370564568705</v>
      </c>
      <c r="G11" s="61" t="n">
        <v>0.147849621484396</v>
      </c>
    </row>
    <row r="12" customFormat="false" ht="15" hidden="false" customHeight="false" outlineLevel="0" collapsed="false">
      <c r="B12" s="60" t="n">
        <v>3500</v>
      </c>
      <c r="C12" s="61" t="n">
        <v>0.0677573996859317</v>
      </c>
      <c r="D12" s="61" t="n">
        <v>0.0946191972670061</v>
      </c>
      <c r="E12" s="62" t="n">
        <v>0.120087059040828</v>
      </c>
      <c r="F12" s="61" t="n">
        <v>0.144477366465522</v>
      </c>
      <c r="G12" s="61" t="n">
        <v>0.167904484993823</v>
      </c>
    </row>
    <row r="13" customFormat="false" ht="15" hidden="false" customHeight="false" outlineLevel="0" collapsed="false">
      <c r="B13" s="60" t="n">
        <v>3750</v>
      </c>
      <c r="C13" s="61" t="n">
        <v>0.0833656788580963</v>
      </c>
      <c r="D13" s="61" t="n">
        <v>0.111146358447243</v>
      </c>
      <c r="E13" s="61" t="n">
        <v>0.137637966511333</v>
      </c>
      <c r="F13" s="61" t="n">
        <v>0.162987988416547</v>
      </c>
      <c r="G13" s="61" t="n">
        <v>0.18732238188311</v>
      </c>
    </row>
    <row r="14" customFormat="false" ht="15" hidden="false" customHeight="false" outlineLevel="0" collapsed="false">
      <c r="B14" s="60" t="n">
        <v>4000</v>
      </c>
      <c r="C14" s="61" t="n">
        <v>0.0983733735443251</v>
      </c>
      <c r="D14" s="61" t="n">
        <v>0.127208550915534</v>
      </c>
      <c r="E14" s="61" t="n">
        <v>0.154680457090929</v>
      </c>
      <c r="F14" s="61" t="n">
        <v>0.180951217335831</v>
      </c>
      <c r="G14" s="61" t="n">
        <v>0.206157583704228</v>
      </c>
    </row>
    <row r="15" customFormat="false" ht="15" hidden="false" customHeight="false" outlineLevel="0" collapsed="false">
      <c r="B15" s="18" t="s">
        <v>112</v>
      </c>
      <c r="C15" s="18"/>
      <c r="D15" s="18"/>
      <c r="E15" s="18"/>
      <c r="F15" s="18"/>
      <c r="G15" s="18"/>
      <c r="H15" s="18"/>
    </row>
    <row r="17" customFormat="false" ht="18" hidden="false" customHeight="true" outlineLevel="0" collapsed="false">
      <c r="B17" s="9" t="s">
        <v>113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56"/>
      <c r="C18" s="57" t="s">
        <v>114</v>
      </c>
      <c r="D18" s="57"/>
      <c r="E18" s="57"/>
      <c r="F18" s="57"/>
      <c r="G18" s="57"/>
    </row>
    <row r="19" customFormat="false" ht="15" hidden="false" customHeight="false" outlineLevel="0" collapsed="false">
      <c r="B19" s="58" t="s">
        <v>115</v>
      </c>
      <c r="C19" s="59" t="n">
        <v>0.07</v>
      </c>
      <c r="D19" s="59" t="n">
        <v>0.08</v>
      </c>
      <c r="E19" s="59" t="n">
        <v>0.09</v>
      </c>
      <c r="F19" s="59" t="n">
        <v>0.1</v>
      </c>
      <c r="G19" s="59" t="n">
        <v>0.11</v>
      </c>
    </row>
    <row r="20" customFormat="false" ht="15" hidden="false" customHeight="false" outlineLevel="0" collapsed="false">
      <c r="B20" s="59" t="n">
        <v>0.5</v>
      </c>
      <c r="C20" s="61" t="n">
        <v>0.112881521455946</v>
      </c>
      <c r="D20" s="61" t="n">
        <v>0.108061079138459</v>
      </c>
      <c r="E20" s="61" t="n">
        <v>0.103135847011907</v>
      </c>
      <c r="F20" s="61" t="n">
        <v>0.098110640012761</v>
      </c>
      <c r="G20" s="61" t="n">
        <v>0.0929905395486896</v>
      </c>
    </row>
    <row r="21" customFormat="false" ht="15" hidden="false" customHeight="false" outlineLevel="0" collapsed="false">
      <c r="B21" s="59" t="n">
        <v>0.6</v>
      </c>
      <c r="C21" s="61" t="n">
        <v>0.119817286803608</v>
      </c>
      <c r="D21" s="61" t="n">
        <v>0.113154233130088</v>
      </c>
      <c r="E21" s="61" t="n">
        <v>0.106359675316082</v>
      </c>
      <c r="F21" s="61" t="n">
        <v>0.0994430415057646</v>
      </c>
      <c r="G21" s="61" t="n">
        <v>0.0924143892817649</v>
      </c>
    </row>
    <row r="22" customFormat="false" ht="15" hidden="false" customHeight="false" outlineLevel="0" collapsed="false">
      <c r="B22" s="59" t="n">
        <v>0.7</v>
      </c>
      <c r="C22" s="61" t="n">
        <v>0.129316700287596</v>
      </c>
      <c r="D22" s="62" t="n">
        <v>0.120087059040828</v>
      </c>
      <c r="E22" s="61" t="n">
        <v>0.110718402832454</v>
      </c>
      <c r="F22" s="61" t="n">
        <v>0.101231228105068</v>
      </c>
      <c r="G22" s="61" t="n">
        <v>0.091647358876301</v>
      </c>
    </row>
    <row r="23" customFormat="false" ht="15" hidden="false" customHeight="false" outlineLevel="0" collapsed="false">
      <c r="B23" s="59" t="n">
        <v>0.75</v>
      </c>
      <c r="C23" s="61" t="n">
        <v>0.135572582295743</v>
      </c>
      <c r="D23" s="61" t="n">
        <v>0.124616506298093</v>
      </c>
      <c r="E23" s="61" t="n">
        <v>0.113541366123745</v>
      </c>
      <c r="F23" s="61" t="n">
        <v>0.102378377717864</v>
      </c>
      <c r="G23" s="61" t="n">
        <v>0.0908305669395518</v>
      </c>
    </row>
    <row r="24" customFormat="false" ht="15" hidden="false" customHeight="false" outlineLevel="0" collapsed="false">
      <c r="B24" s="59" t="n">
        <v>0.8</v>
      </c>
      <c r="C24" s="61" t="n">
        <v>0.143367784162777</v>
      </c>
      <c r="D24" s="61" t="n">
        <v>0.13021066800891</v>
      </c>
      <c r="E24" s="61" t="n">
        <v>0.116994307039042</v>
      </c>
      <c r="F24" s="61" t="n">
        <v>0.103607877582695</v>
      </c>
      <c r="G24" s="61" t="n">
        <v>0.0893874460521632</v>
      </c>
    </row>
    <row r="25" customFormat="false" ht="15" hidden="false" customHeight="false" outlineLevel="0" collapsed="false">
      <c r="B25" s="18" t="s">
        <v>116</v>
      </c>
      <c r="C25" s="18"/>
      <c r="D25" s="18"/>
      <c r="E25" s="18"/>
      <c r="F25" s="18"/>
      <c r="G25" s="18"/>
      <c r="H25" s="18"/>
    </row>
    <row r="27" customFormat="false" ht="18" hidden="false" customHeight="true" outlineLevel="0" collapsed="false">
      <c r="B27" s="9" t="s">
        <v>117</v>
      </c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B28" s="56"/>
      <c r="C28" s="57" t="s">
        <v>118</v>
      </c>
      <c r="D28" s="57"/>
      <c r="E28" s="57"/>
      <c r="F28" s="57"/>
      <c r="G28" s="57"/>
    </row>
    <row r="29" customFormat="false" ht="15" hidden="false" customHeight="false" outlineLevel="0" collapsed="false">
      <c r="B29" s="58" t="s">
        <v>119</v>
      </c>
      <c r="C29" s="60" t="n">
        <v>3000</v>
      </c>
      <c r="D29" s="60" t="n">
        <v>3250</v>
      </c>
      <c r="E29" s="60" t="n">
        <v>3500</v>
      </c>
      <c r="F29" s="60" t="n">
        <v>3750</v>
      </c>
      <c r="G29" s="60" t="n">
        <v>4000</v>
      </c>
    </row>
    <row r="30" customFormat="false" ht="15" hidden="false" customHeight="false" outlineLevel="0" collapsed="false">
      <c r="B30" s="59" t="n">
        <v>0.16</v>
      </c>
      <c r="C30" s="63" t="n">
        <v>-42.1292951466276</v>
      </c>
      <c r="D30" s="63" t="n">
        <v>-31.1675877146087</v>
      </c>
      <c r="E30" s="63" t="n">
        <v>-20.7039203156536</v>
      </c>
      <c r="F30" s="63" t="n">
        <v>-10.8196417855835</v>
      </c>
      <c r="G30" s="63" t="n">
        <v>-1.07222425378571</v>
      </c>
    </row>
    <row r="31" customFormat="false" ht="15" hidden="false" customHeight="false" outlineLevel="0" collapsed="false">
      <c r="B31" s="59" t="n">
        <v>0.18</v>
      </c>
      <c r="C31" s="63" t="n">
        <v>-25.8946747903379</v>
      </c>
      <c r="D31" s="63" t="n">
        <v>-14.5009144289386</v>
      </c>
      <c r="E31" s="63" t="n">
        <v>-3.53506970566608</v>
      </c>
      <c r="F31" s="63" t="n">
        <v>7.43077501760646</v>
      </c>
      <c r="G31" s="63" t="n">
        <v>18.396619740879</v>
      </c>
    </row>
    <row r="32" customFormat="false" ht="15" hidden="false" customHeight="false" outlineLevel="0" collapsed="false">
      <c r="B32" s="59" t="n">
        <v>0.2</v>
      </c>
      <c r="C32" s="63" t="n">
        <v>-10.8716239234454</v>
      </c>
      <c r="D32" s="63" t="n">
        <v>1.3126479913019</v>
      </c>
      <c r="E32" s="64" t="n">
        <v>13.4969199060492</v>
      </c>
      <c r="F32" s="63" t="n">
        <v>25.6811918207964</v>
      </c>
      <c r="G32" s="63" t="n">
        <v>37.8654637355437</v>
      </c>
    </row>
    <row r="33" customFormat="false" ht="15" hidden="false" customHeight="false" outlineLevel="0" collapsed="false">
      <c r="B33" s="59" t="n">
        <v>0.22</v>
      </c>
      <c r="C33" s="63" t="n">
        <v>3.72351130532043</v>
      </c>
      <c r="D33" s="63" t="n">
        <v>17.1262104115424</v>
      </c>
      <c r="E33" s="63" t="n">
        <v>30.5289095177644</v>
      </c>
      <c r="F33" s="63" t="n">
        <v>43.9316086239864</v>
      </c>
      <c r="G33" s="63" t="n">
        <v>57.3343077302084</v>
      </c>
    </row>
    <row r="34" customFormat="false" ht="15" hidden="false" customHeight="false" outlineLevel="0" collapsed="false">
      <c r="B34" s="59" t="n">
        <v>0.24</v>
      </c>
      <c r="C34" s="63" t="n">
        <v>18.3186465340862</v>
      </c>
      <c r="D34" s="63" t="n">
        <v>32.9397728317829</v>
      </c>
      <c r="E34" s="63" t="n">
        <v>47.5608991294797</v>
      </c>
      <c r="F34" s="63" t="n">
        <v>62.1820254271764</v>
      </c>
      <c r="G34" s="63" t="n">
        <v>76.8031517248731</v>
      </c>
    </row>
    <row r="35" customFormat="false" ht="15" hidden="false" customHeight="false" outlineLevel="0" collapsed="false">
      <c r="B35" s="18" t="s">
        <v>120</v>
      </c>
      <c r="C35" s="18"/>
      <c r="D35" s="18"/>
      <c r="E35" s="18"/>
      <c r="F35" s="18"/>
      <c r="G35" s="18"/>
      <c r="H35" s="18"/>
    </row>
    <row r="37" customFormat="false" ht="18" hidden="false" customHeight="true" outlineLevel="0" collapsed="false">
      <c r="B37" s="9" t="s">
        <v>121</v>
      </c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B38" s="56"/>
      <c r="C38" s="57" t="s">
        <v>7</v>
      </c>
      <c r="D38" s="57"/>
      <c r="E38" s="57"/>
      <c r="F38" s="57"/>
      <c r="G38" s="57"/>
    </row>
    <row r="39" customFormat="false" ht="15" hidden="false" customHeight="false" outlineLevel="0" collapsed="false">
      <c r="B39" s="58" t="s">
        <v>122</v>
      </c>
      <c r="C39" s="59" t="n">
        <v>0.5</v>
      </c>
      <c r="D39" s="59" t="n">
        <v>0.6</v>
      </c>
      <c r="E39" s="59" t="n">
        <v>0.7</v>
      </c>
      <c r="F39" s="59" t="n">
        <v>0.75</v>
      </c>
      <c r="G39" s="59" t="n">
        <v>0.8</v>
      </c>
    </row>
    <row r="40" customFormat="false" ht="15" hidden="false" customHeight="false" outlineLevel="0" collapsed="false">
      <c r="B40" s="59" t="n">
        <v>0.07</v>
      </c>
      <c r="C40" s="65" t="n">
        <v>2.30831405527949</v>
      </c>
      <c r="D40" s="65" t="n">
        <v>1.90964150687186</v>
      </c>
      <c r="E40" s="65" t="n">
        <v>1.62487540086662</v>
      </c>
      <c r="F40" s="65" t="n">
        <v>1.51096895846459</v>
      </c>
      <c r="G40" s="65" t="n">
        <v>1.4113008213625</v>
      </c>
    </row>
    <row r="41" customFormat="false" ht="15" hidden="false" customHeight="false" outlineLevel="0" collapsed="false">
      <c r="B41" s="59" t="n">
        <v>0.08</v>
      </c>
      <c r="C41" s="65" t="n">
        <v>2.1787971146239</v>
      </c>
      <c r="D41" s="65" t="n">
        <v>1.80053372666846</v>
      </c>
      <c r="E41" s="66" t="n">
        <v>1.53034559241441</v>
      </c>
      <c r="F41" s="65" t="n">
        <v>1.42227033871286</v>
      </c>
      <c r="G41" s="65" t="n">
        <v>1.32770449172402</v>
      </c>
    </row>
    <row r="42" customFormat="false" ht="15" hidden="false" customHeight="false" outlineLevel="0" collapsed="false">
      <c r="B42" s="59" t="n">
        <v>0.09</v>
      </c>
      <c r="C42" s="65" t="n">
        <v>2.05949412020006</v>
      </c>
      <c r="D42" s="65" t="n">
        <v>1.70007106257383</v>
      </c>
      <c r="E42" s="65" t="n">
        <v>1.44334030712604</v>
      </c>
      <c r="F42" s="65" t="n">
        <v>1.34064800494712</v>
      </c>
      <c r="G42" s="65" t="n">
        <v>1.25079224054065</v>
      </c>
    </row>
    <row r="43" customFormat="false" ht="15" hidden="false" customHeight="false" outlineLevel="0" collapsed="false">
      <c r="B43" s="59" t="n">
        <v>0.1</v>
      </c>
      <c r="C43" s="65" t="n">
        <v>1.94942380392897</v>
      </c>
      <c r="D43" s="65" t="n">
        <v>1.60741962780098</v>
      </c>
      <c r="E43" s="65" t="n">
        <v>1.36313093056701</v>
      </c>
      <c r="F43" s="65" t="n">
        <v>1.26541545167311</v>
      </c>
      <c r="G43" s="65" t="n">
        <v>1.17991440764118</v>
      </c>
    </row>
    <row r="44" customFormat="false" ht="15" hidden="false" customHeight="false" outlineLevel="0" collapsed="false">
      <c r="B44" s="59" t="n">
        <v>0.11</v>
      </c>
      <c r="C44" s="65" t="n">
        <v>1.84771215959599</v>
      </c>
      <c r="D44" s="65" t="n">
        <v>1.52183699917319</v>
      </c>
      <c r="E44" s="65" t="n">
        <v>1.28906902744274</v>
      </c>
      <c r="F44" s="65" t="n">
        <v>1.19596183875066</v>
      </c>
      <c r="G44" s="65" t="n">
        <v>1.11449304864516</v>
      </c>
    </row>
    <row r="45" customFormat="false" ht="15" hidden="false" customHeight="false" outlineLevel="0" collapsed="false">
      <c r="B45" s="18" t="s">
        <v>123</v>
      </c>
      <c r="C45" s="18"/>
      <c r="D45" s="18"/>
      <c r="E45" s="18"/>
      <c r="F45" s="18"/>
      <c r="G45" s="18"/>
      <c r="H45" s="18"/>
    </row>
  </sheetData>
  <mergeCells count="14">
    <mergeCell ref="B2:H4"/>
    <mergeCell ref="B5:H5"/>
    <mergeCell ref="B7:H7"/>
    <mergeCell ref="C8:G8"/>
    <mergeCell ref="B15:H15"/>
    <mergeCell ref="B17:H17"/>
    <mergeCell ref="C18:G18"/>
    <mergeCell ref="B25:H25"/>
    <mergeCell ref="B27:H27"/>
    <mergeCell ref="C28:G28"/>
    <mergeCell ref="B35:H35"/>
    <mergeCell ref="B37:H37"/>
    <mergeCell ref="C38:G38"/>
    <mergeCell ref="B45:H45"/>
  </mergeCells>
  <conditionalFormatting sqref="C10:G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0:G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0:G3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40:G4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2026-07-31T21:13:43Z</dcterms:created>
  <dc:creator>openpyxl</dc:creator>
  <dc:description/>
  <dc:language>en-US</dc:language>
  <cp:lastModifiedBy/>
  <dcterms:modified xsi:type="dcterms:W3CDTF">2026-07-31T21:31:27Z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